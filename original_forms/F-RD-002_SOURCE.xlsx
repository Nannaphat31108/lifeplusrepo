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ต้นทุน นฤมล\AI งานบอส\"/>
    </mc:Choice>
  </mc:AlternateContent>
  <xr:revisionPtr revIDLastSave="0" documentId="13_ncr:1_{35DE95CA-8A65-4CDA-89B7-E6D38761AB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สูตร" sheetId="1" r:id="rId1"/>
    <sheet name="แหล่งข้อมูล ซัพ ประเทศ ราคา " sheetId="2" r:id="rId2"/>
    <sheet name="แหล่งข้อมูล วัตถุดิบ" sheetId="3" r:id="rId3"/>
  </sheets>
  <definedNames>
    <definedName name="_xlnm._FilterDatabase" localSheetId="2" hidden="1">'แหล่งข้อมูล วัตถุดิบ'!$A$1:$F$338</definedName>
    <definedName name="_xlnm.Print_Area" localSheetId="0">สูตร!$A$1:$AU$49</definedName>
  </definedNames>
  <calcPr calcId="191029"/>
  <extLst>
    <ext uri="GoogleSheetsCustomDataVersion1">
      <go:sheetsCustomData xmlns:go="http://customooxmlschemas.google.com/" r:id="rId7" roundtripDataSignature="AMtx7mh8U/cQfAVeMrBhRfOaMjCElWGCKQ=="/>
    </ext>
  </extLst>
</workbook>
</file>

<file path=xl/calcChain.xml><?xml version="1.0" encoding="utf-8"?>
<calcChain xmlns="http://schemas.openxmlformats.org/spreadsheetml/2006/main">
  <c r="AJ54" i="1" l="1"/>
  <c r="AO48" i="1"/>
  <c r="K44" i="1"/>
  <c r="AI41" i="1"/>
  <c r="AD41" i="1"/>
  <c r="Z41" i="1"/>
  <c r="AI40" i="1"/>
  <c r="AD40" i="1"/>
  <c r="Z40" i="1"/>
  <c r="AI39" i="1"/>
  <c r="AD39" i="1"/>
  <c r="Z39" i="1"/>
  <c r="T36" i="1"/>
  <c r="AD32" i="1" s="1"/>
  <c r="AI35" i="1"/>
  <c r="Z35" i="1"/>
  <c r="AI34" i="1"/>
  <c r="Z34" i="1"/>
  <c r="AI33" i="1"/>
  <c r="Z33" i="1"/>
  <c r="AI32" i="1"/>
  <c r="Z32" i="1"/>
  <c r="AI31" i="1"/>
  <c r="Z31" i="1"/>
  <c r="AI30" i="1"/>
  <c r="Z30" i="1"/>
  <c r="AI29" i="1"/>
  <c r="Z29" i="1"/>
  <c r="AI28" i="1"/>
  <c r="Z28" i="1"/>
  <c r="AI27" i="1"/>
  <c r="AD27" i="1"/>
  <c r="Z27" i="1"/>
  <c r="AI26" i="1"/>
  <c r="Z26" i="1"/>
  <c r="AI25" i="1"/>
  <c r="Z25" i="1"/>
  <c r="AI24" i="1"/>
  <c r="Z24" i="1"/>
  <c r="AI23" i="1"/>
  <c r="Z23" i="1"/>
  <c r="AI22" i="1"/>
  <c r="Z22" i="1"/>
  <c r="AI21" i="1"/>
  <c r="Z21" i="1"/>
  <c r="AI20" i="1"/>
  <c r="Z20" i="1"/>
  <c r="AI19" i="1"/>
  <c r="Z19" i="1"/>
  <c r="AI18" i="1"/>
  <c r="Z18" i="1"/>
  <c r="AI17" i="1"/>
  <c r="Z17" i="1"/>
  <c r="AI16" i="1"/>
  <c r="Z16" i="1"/>
  <c r="AD31" i="1" l="1"/>
  <c r="AD19" i="1"/>
  <c r="AD35" i="1"/>
  <c r="AD23" i="1"/>
  <c r="AD42" i="1" s="1"/>
  <c r="K47" i="1"/>
  <c r="AO47" i="1" s="1"/>
  <c r="AO49" i="1" s="1"/>
  <c r="K45" i="1"/>
  <c r="Z36" i="1"/>
  <c r="Z42" i="1" s="1"/>
  <c r="Z43" i="1" s="1"/>
  <c r="T42" i="1"/>
  <c r="T43" i="1" s="1"/>
  <c r="AD16" i="1"/>
  <c r="AD20" i="1"/>
  <c r="AD28" i="1"/>
  <c r="AD17" i="1"/>
  <c r="AD36" i="1" s="1"/>
  <c r="AD21" i="1"/>
  <c r="AD25" i="1"/>
  <c r="AD29" i="1"/>
  <c r="AD33" i="1"/>
  <c r="AD18" i="1"/>
  <c r="AD22" i="1"/>
  <c r="AD26" i="1"/>
  <c r="AD30" i="1"/>
  <c r="AD34" i="1"/>
  <c r="AD24" i="1"/>
  <c r="AD43" i="1" s="1"/>
  <c r="K49" i="1" l="1"/>
</calcChain>
</file>

<file path=xl/sharedStrings.xml><?xml version="1.0" encoding="utf-8"?>
<sst xmlns="http://schemas.openxmlformats.org/spreadsheetml/2006/main" count="1563" uniqueCount="619">
  <si>
    <r>
      <rPr>
        <b/>
        <sz val="14"/>
        <color theme="1"/>
        <rFont val="Cordia New"/>
        <family val="2"/>
      </rPr>
      <t xml:space="preserve">ชื่อแบบฟอร์ม : </t>
    </r>
    <r>
      <rPr>
        <sz val="14"/>
        <color rgb="FF000000"/>
        <rFont val="Cordia New"/>
        <family val="2"/>
      </rPr>
      <t>สูตร</t>
    </r>
  </si>
  <si>
    <r>
      <rPr>
        <b/>
        <sz val="14"/>
        <color theme="1"/>
        <rFont val="Cordia New"/>
        <family val="2"/>
      </rPr>
      <t xml:space="preserve">เลขที่แบบฟอร์ม  : </t>
    </r>
    <r>
      <rPr>
        <sz val="14"/>
        <color rgb="FF000000"/>
        <rFont val="Cordia New"/>
        <family val="2"/>
      </rPr>
      <t xml:space="preserve">F-RD-002 </t>
    </r>
  </si>
  <si>
    <r>
      <rPr>
        <b/>
        <sz val="14"/>
        <color theme="1"/>
        <rFont val="Cordia New"/>
        <family val="2"/>
      </rPr>
      <t xml:space="preserve">แก้ไขครั้งที่ : </t>
    </r>
    <r>
      <rPr>
        <sz val="14"/>
        <color rgb="FF000000"/>
        <rFont val="Cordia New"/>
        <family val="2"/>
      </rPr>
      <t>0</t>
    </r>
  </si>
  <si>
    <t xml:space="preserve">เตรียมโดย  :                        </t>
  </si>
  <si>
    <t xml:space="preserve">อนุมัติโดย  :                          </t>
  </si>
  <si>
    <t>นามผู้ซื้อ</t>
  </si>
  <si>
    <t>เลขที่สูตร</t>
  </si>
  <si>
    <t>ประเภทของผลิตภัณฑ์</t>
  </si>
  <si>
    <t>วันที่</t>
  </si>
  <si>
    <t>ชื่อผลิตภัณฑ์ / เลข อย.</t>
  </si>
  <si>
    <t>พนักงานขาย</t>
  </si>
  <si>
    <t>จำนวนที่สั่งผลิต</t>
  </si>
  <si>
    <t>หน่วย</t>
  </si>
  <si>
    <t>ลำดับ</t>
  </si>
  <si>
    <t>Active Ingredient</t>
  </si>
  <si>
    <t>ปริมาณ (มล.)</t>
  </si>
  <si>
    <t>ปริมาณที่ใช้</t>
  </si>
  <si>
    <t>ร้อยละ</t>
  </si>
  <si>
    <t>ราคา / ก.ก.</t>
  </si>
  <si>
    <t>ราคา / มก.</t>
  </si>
  <si>
    <t>ผู้จัดจำหน่าย</t>
  </si>
  <si>
    <t>Import</t>
  </si>
  <si>
    <t>รหัสสาร</t>
  </si>
  <si>
    <t>Halal</t>
  </si>
  <si>
    <t>No.</t>
  </si>
  <si>
    <t>(ส่วนประกอบที่สำคัญ)</t>
  </si>
  <si>
    <t>Quntity (Mg.)</t>
  </si>
  <si>
    <t>ผลิต (ก.ก.)</t>
  </si>
  <si>
    <t>(%) (Mg.)</t>
  </si>
  <si>
    <t>Price / Kg.</t>
  </si>
  <si>
    <t>Price / Mg.</t>
  </si>
  <si>
    <t>Supplier</t>
  </si>
  <si>
    <t>Inactive Ingredient</t>
  </si>
  <si>
    <t>(ส่วนประกอบที่ไม่สำคัญ)</t>
  </si>
  <si>
    <t>Gelatin 428</t>
  </si>
  <si>
    <t>Titanium Dioxide (TiO2) 171</t>
  </si>
  <si>
    <t>Purified water</t>
  </si>
  <si>
    <t>Caosule #0</t>
  </si>
  <si>
    <t>Total</t>
  </si>
  <si>
    <t>ปริมาณส่วนผสม / หน่วย</t>
  </si>
  <si>
    <t>มก.</t>
  </si>
  <si>
    <t>ปริมาณที่ใช้ในการผลิต</t>
  </si>
  <si>
    <t>ก.ก.</t>
  </si>
  <si>
    <t>ราคาต้นทุนส่วนผสม / หน่วย</t>
  </si>
  <si>
    <t>บาท</t>
  </si>
  <si>
    <t>รวมราคาต้นทุนส่วนผสม</t>
  </si>
  <si>
    <t>ราคาขาย / หน่วย</t>
  </si>
  <si>
    <t>รวมราคาขาย</t>
  </si>
  <si>
    <t>กำไร / หน่วย</t>
  </si>
  <si>
    <t>รวมกำไร</t>
  </si>
  <si>
    <t>เรทราคา</t>
  </si>
  <si>
    <t>หมายเหตุ</t>
  </si>
  <si>
    <t>=</t>
  </si>
  <si>
    <t>ลงชื่อ</t>
  </si>
  <si>
    <t>อุทัยวรรณ</t>
  </si>
  <si>
    <t>จนท. R&amp;D</t>
  </si>
  <si>
    <t>การตัก โปรตีน / คอลลาเจน</t>
  </si>
  <si>
    <t>ระบุสีแคปซูลที่เหมาะสม</t>
  </si>
  <si>
    <t>ตักวันละ</t>
  </si>
  <si>
    <t>ช้อน</t>
  </si>
  <si>
    <t>ช้อนตักผงคอลลาเจน/โปรตีน</t>
  </si>
  <si>
    <t>ต้นทุนสารสกัดส่งตรวจ</t>
  </si>
  <si>
    <t>การรับประทาน/วัน(แคปซูล/ตอกเม็ด/ซอง/ช้อนตวง)</t>
  </si>
  <si>
    <t>ขนาด</t>
  </si>
  <si>
    <t>รหัสสินค้า</t>
  </si>
  <si>
    <t>5 กรัม</t>
  </si>
  <si>
    <t>PCSP001</t>
  </si>
  <si>
    <t>10 กรัม</t>
  </si>
  <si>
    <t>PCSP002</t>
  </si>
  <si>
    <t>20 กรัม</t>
  </si>
  <si>
    <t>PCSP003</t>
  </si>
  <si>
    <t>Probiotic ตัวหนังสือสีเขียว</t>
  </si>
  <si>
    <t>25 กรัม</t>
  </si>
  <si>
    <t>PCSP004</t>
  </si>
  <si>
    <t>เพิ่ม/ลด/ปรับเปลี่ยน วัตถุดิบ ปริมาณ ผู้จัดจำหน่าย ประเทศ ตัวหนังสือสีแดง</t>
  </si>
  <si>
    <t>35 กรัม</t>
  </si>
  <si>
    <t>PCSP005</t>
  </si>
  <si>
    <t>*เมื่อลูกค้ามัดจำ 50 แรก ให้ส่งสูตรที่ใส่รหัสวัตถุดิบและอัพเดตให้แอดมิน</t>
  </si>
  <si>
    <t>40 กรัม</t>
  </si>
  <si>
    <t>PCSP006</t>
  </si>
  <si>
    <t>50 กรัม</t>
  </si>
  <si>
    <t>PCSP007</t>
  </si>
  <si>
    <t>30 กรัม</t>
  </si>
  <si>
    <t>PCSP008</t>
  </si>
  <si>
    <t xml:space="preserve"> </t>
  </si>
  <si>
    <t>ซอง</t>
  </si>
  <si>
    <t>ผกามาศ</t>
  </si>
  <si>
    <t>Advance</t>
  </si>
  <si>
    <t>Australia</t>
  </si>
  <si>
    <t>√</t>
  </si>
  <si>
    <t>วรัญญา  ปราบณรงค์</t>
  </si>
  <si>
    <t>แคปซูล</t>
  </si>
  <si>
    <t>ศิริลักษณ์</t>
  </si>
  <si>
    <t>Agrostar</t>
  </si>
  <si>
    <t>Belgium</t>
  </si>
  <si>
    <t>ธนวรรณ ด้วงมาก</t>
  </si>
  <si>
    <t>ตอกเม็ด</t>
  </si>
  <si>
    <t>Asia Foods</t>
  </si>
  <si>
    <t>Brazil</t>
  </si>
  <si>
    <t>เทวนาถ ชุ่มสา</t>
  </si>
  <si>
    <t>กระปุก</t>
  </si>
  <si>
    <t>นฤมล</t>
  </si>
  <si>
    <t>Bonanza</t>
  </si>
  <si>
    <t>Canada</t>
  </si>
  <si>
    <t>ชุติรัตน์ พรนฤนาท</t>
  </si>
  <si>
    <t>ถุง</t>
  </si>
  <si>
    <t>รัตนากร</t>
  </si>
  <si>
    <t>Brenntag</t>
  </si>
  <si>
    <t>China</t>
  </si>
  <si>
    <t>สุชาดา สงแก้ว</t>
  </si>
  <si>
    <t>Catalite</t>
  </si>
  <si>
    <t>Czech</t>
  </si>
  <si>
    <t>กริน เกรียงไกรยกร</t>
  </si>
  <si>
    <t>Chem Sources</t>
  </si>
  <si>
    <t>Danmark</t>
  </si>
  <si>
    <t>กนกรัตน์ ท่อทิพย์</t>
  </si>
  <si>
    <t>Chemico</t>
  </si>
  <si>
    <t>England</t>
  </si>
  <si>
    <t>ปัตหรา เส็นเจริญ</t>
  </si>
  <si>
    <t>Cosmic</t>
  </si>
  <si>
    <t>Germany</t>
  </si>
  <si>
    <t>ตมิสา สังครุฑ</t>
  </si>
  <si>
    <t>Chemipan</t>
  </si>
  <si>
    <t>France</t>
  </si>
  <si>
    <t>อรกัญญา ฉิงเซิ่ง</t>
  </si>
  <si>
    <t>DKSH</t>
  </si>
  <si>
    <t>Hongkong</t>
  </si>
  <si>
    <t>ภัสชญา บุญลิปตานนท์</t>
  </si>
  <si>
    <t>Fenchem</t>
  </si>
  <si>
    <t>India</t>
  </si>
  <si>
    <t>Fujinihon</t>
  </si>
  <si>
    <t>Italy</t>
  </si>
  <si>
    <t>Ingram</t>
  </si>
  <si>
    <t>Japan</t>
  </si>
  <si>
    <t>JR SERVE</t>
  </si>
  <si>
    <t>Korea</t>
  </si>
  <si>
    <t>Khotcher</t>
  </si>
  <si>
    <t>Malaysia</t>
  </si>
  <si>
    <t>Koon Global</t>
  </si>
  <si>
    <t>Netherland</t>
  </si>
  <si>
    <t>Krungthep Chemi</t>
  </si>
  <si>
    <t>Newzeland</t>
  </si>
  <si>
    <t>Maxway</t>
  </si>
  <si>
    <t>Russia</t>
  </si>
  <si>
    <t>MTM</t>
  </si>
  <si>
    <t>Singapore</t>
  </si>
  <si>
    <t>Namsiang</t>
  </si>
  <si>
    <t>Spain</t>
  </si>
  <si>
    <t>Nufitech</t>
  </si>
  <si>
    <t>Switzerland</t>
  </si>
  <si>
    <t>Nutriscent</t>
  </si>
  <si>
    <t>Taiwan</t>
  </si>
  <si>
    <t>Nutrition</t>
  </si>
  <si>
    <t>Thailand</t>
  </si>
  <si>
    <t>Onimax</t>
  </si>
  <si>
    <t>UK</t>
  </si>
  <si>
    <t>Premium Ingredients</t>
  </si>
  <si>
    <t>USA</t>
  </si>
  <si>
    <t>Primotrad</t>
  </si>
  <si>
    <t>Vietnam</t>
  </si>
  <si>
    <t>PureBiotech</t>
  </si>
  <si>
    <t>รอจัดซื้อ</t>
  </si>
  <si>
    <t>PureChemical</t>
  </si>
  <si>
    <t>ลูกค้านำเข้าเอง</t>
  </si>
  <si>
    <t>Quinn Chem</t>
  </si>
  <si>
    <t xml:space="preserve">Rama Production </t>
  </si>
  <si>
    <t>SNK</t>
  </si>
  <si>
    <t>Special Tech</t>
  </si>
  <si>
    <t>Sport Import</t>
  </si>
  <si>
    <t>STC</t>
  </si>
  <si>
    <t>Supanij Organic</t>
  </si>
  <si>
    <t>Thaifood</t>
  </si>
  <si>
    <t>TPM</t>
  </si>
  <si>
    <t>Tripplenine</t>
  </si>
  <si>
    <t>Unify</t>
  </si>
  <si>
    <t>Urothai</t>
  </si>
  <si>
    <t>Weiteh</t>
  </si>
  <si>
    <t>ชาตรามือ</t>
  </si>
  <si>
    <t>ชื่อทางการค้า</t>
  </si>
  <si>
    <t>Product name ลดน้ำหนัก พรีเมียม</t>
  </si>
  <si>
    <t>Sup.</t>
  </si>
  <si>
    <t>ประเทศ</t>
  </si>
  <si>
    <t>ราคา</t>
  </si>
  <si>
    <t>Ankascin®</t>
  </si>
  <si>
    <t>586-R Red Yeast Powder (ผงยีสต์สีแดง)</t>
  </si>
  <si>
    <t>Abalone Powder(ผงหอยเป๋าฮื้อ)</t>
  </si>
  <si>
    <t>Acai Berry Extract (สารสกัดจากอาไซอิเบอร์รี่)</t>
  </si>
  <si>
    <t>Acerola Cherry Extract (สารสกัดจากอะเซโรล่าเชอร์รี่)</t>
  </si>
  <si>
    <t>Acesulfame K (แอซีซัลเฟม เค)</t>
  </si>
  <si>
    <t>Acetyl L-Carnitine Hydrochoride (อะเซทิล แอล-คาร์นิทีน ไฮโดรคลอไรด์)</t>
  </si>
  <si>
    <t>African Mango Extract (สารสกัดจากมะม่วงแอฟริกัน)</t>
  </si>
  <si>
    <t>African Mango Seed Extract (สารสกัดเมล็ดมะม่วงแอฟริกัน)</t>
  </si>
  <si>
    <t>Alfalfa Powder (ผงอัลฟาฟ่า)</t>
  </si>
  <si>
    <t>Algae Extract (สารสกัดจากสาหร่าย)</t>
  </si>
  <si>
    <t>Almond Milk Flavour Powder (ผงกลิ่นนมอัลมอนด์)</t>
  </si>
  <si>
    <t>Almond Powder (ผงอัลมอนด์)</t>
  </si>
  <si>
    <t>Aloe Vera Powder (ผงว่านหางจระเข้)</t>
  </si>
  <si>
    <t>Alpha Lipoic Acid (กรดอัลฟ่า ไลโปอิค)</t>
  </si>
  <si>
    <t>Apple Cider Vinegar (น้ำส้มสายชูหมักจากแอปเปิ้ล)</t>
  </si>
  <si>
    <t>ApplePhenon®</t>
  </si>
  <si>
    <t>Apple Extract (สารสกัดจากแอปเปิ้ล)</t>
  </si>
  <si>
    <t>Apple Fiber (ไฟเบอร์จากแอปเปิ้ล)</t>
  </si>
  <si>
    <t>Apple Flavour (กลิ่นแอปเปิ้ล)</t>
  </si>
  <si>
    <t>Apple Flavour Powder (กลิ่นแอปเปิ้ล)</t>
  </si>
  <si>
    <t>Apple Powder (ผงแอปเปิ้ล)</t>
  </si>
  <si>
    <t>Apricot Powder (ผงแอปริคอท)</t>
  </si>
  <si>
    <t>Artichoke Extract (สารสกัดจากอาร์ติโชค)</t>
  </si>
  <si>
    <t>Ascorbic Acid (วิตามินซี)</t>
  </si>
  <si>
    <t>Aspartame (แอสปาแตม)</t>
  </si>
  <si>
    <t>Astragalus Extract (สารสกัดแอสทรากาลัส)</t>
  </si>
  <si>
    <t>Avocado Powder (ผงอะโวคาโด)</t>
  </si>
  <si>
    <t>Probio-10</t>
  </si>
  <si>
    <t>Bacillus coagulans BC208 (บาซิลลัส โคแอกกูแลน)</t>
  </si>
  <si>
    <t>Bacillus coagulans BC208(บาซิลลัส โคแอกกูแลน)</t>
  </si>
  <si>
    <t>Bacognize®</t>
  </si>
  <si>
    <t>Bacopa monnieri Extract (สารสกัดจากใบพรมมิ)</t>
  </si>
  <si>
    <t>Balm Extract (สารสกัดจากสาระแหน่ฝรั่ง)</t>
  </si>
  <si>
    <t>Banana Flavour Powder (ผงกลิ่นกล้วย)</t>
  </si>
  <si>
    <t>Banana Flower Powder (ผงปลีกล้วยน้ำว้า)</t>
  </si>
  <si>
    <t>BANATIN®</t>
  </si>
  <si>
    <t>Banana Powder (ผงกล้วย)</t>
  </si>
  <si>
    <t>SANWA</t>
  </si>
  <si>
    <t>Barley Extract (สารสกัดจากข้าวบาร์เลย์)</t>
  </si>
  <si>
    <t>Beet Root Powder (ผงบีทรูท)</t>
  </si>
  <si>
    <t>Nufitach</t>
  </si>
  <si>
    <t>Beta Carotene (เบต้าแคโรทีน)</t>
  </si>
  <si>
    <t>Beta Glucan From Yeast (เบต้ากลูแคนจากยีสต์)</t>
  </si>
  <si>
    <t>Bifidobacterium bifidum BB223 ( บิฟิโดแบคทีเรียม บิฟิดัม)</t>
  </si>
  <si>
    <t>Bifidobacterium breve BBR255 (บิฟิโดแบคทีเรียม เบรเว)</t>
  </si>
  <si>
    <t>Bifidobacterium infantis BIF217 (บิฟิโดแบคทีเรียม อินฟานทิส)</t>
  </si>
  <si>
    <t>HowarU</t>
  </si>
  <si>
    <t>Bifidobacterium lactis Bi-07 (บิฟิโดแบคทีเรียม แล็กทิส)</t>
  </si>
  <si>
    <t>Bifidobacterium lactis BLA281 (บิฟิโดแบคทีเรียม แล็กทิส)</t>
  </si>
  <si>
    <t>Bifidobacterium longum BL268 (บิฟิโดแบคทีเรียม ลองกัม)</t>
  </si>
  <si>
    <t>Bilberry Extract (สารสกัดจากบิลเบอร์รี่)</t>
  </si>
  <si>
    <t>Bilberon®-25</t>
  </si>
  <si>
    <t>Bird Chili Pepper Extract (สารสกัดพริกขี้หนูสวน)</t>
  </si>
  <si>
    <t>Bird Nest Powder (ผงรังนก)</t>
  </si>
  <si>
    <t>Bitter Melon Extract (สารสกัดจากมะระขี้นก)</t>
  </si>
  <si>
    <t>Black Bean Powder (ผงถั่วดำ)</t>
  </si>
  <si>
    <t>Black Berry Extract (สารสกัดจากแบล็คเบอร์รี่)</t>
  </si>
  <si>
    <t>Black Current Extract (สารสกัดจากแบล็คเคอร์แรนท์)</t>
  </si>
  <si>
    <t>Black Galingale Extract (สารสกัดจากกระชายดำ)</t>
  </si>
  <si>
    <t>Black Pepper Extract (สารสกัดจากพริกไทยดำ)</t>
  </si>
  <si>
    <t>Black Sesamin Extract (สารสกัดจากงาดำ)</t>
  </si>
  <si>
    <t>Black Tea Powder (ผงชาดำ)</t>
  </si>
  <si>
    <t>POLYCAN™</t>
  </si>
  <si>
    <t>Black Yeast Beta-Glucan (เบต้ากลูแคนจากยีสต์ดำ)</t>
  </si>
  <si>
    <t>Blood Orange Extract (สารสกัดจากส้มสีเลือด)</t>
  </si>
  <si>
    <t>Morosil</t>
  </si>
  <si>
    <t>RED ORANGE COMPLEX</t>
  </si>
  <si>
    <t>Blue Berry Flavour (ผงกลิ่นบูลเบอร์รี่)</t>
  </si>
  <si>
    <t>Blue Berry Powder (ผงบูลเบอร์รี่)</t>
  </si>
  <si>
    <t>Blue Hawaii Flavour (กลิ่นบลูฮาวาย)</t>
  </si>
  <si>
    <t>Blueberry Milk Flavour (ผงกลิ่นนมบลูเบอร์รี่)</t>
  </si>
  <si>
    <t>Boron Amino Acid Chelate (โบรอน อะมิโน แอซิด คีเลต)</t>
  </si>
  <si>
    <t>Nissi Collagen™</t>
  </si>
  <si>
    <t>Bovine Collagen Powder (คอลลาเจนเปปไทด์จากวัว)</t>
  </si>
  <si>
    <t xml:space="preserve">Brahmi Extract (สารสกัดพรมมิ) </t>
  </si>
  <si>
    <t>Brewer's yeast  Powder (ผงบริเวอร์ยีสต์)</t>
  </si>
  <si>
    <t>Broccoli Powder (ผงบล็อคโคลี่)</t>
  </si>
  <si>
    <t>Brown Rice Protein (โปรตีนจากข้าวกล้อง)</t>
  </si>
  <si>
    <t>Burdock Powder (ผงโกโบ)</t>
  </si>
  <si>
    <t>Butterfly Pea Extract (สารสกัดจากดอกอัญชัน)</t>
  </si>
  <si>
    <t>Cactus Extract (สารสกัดจากกระบองเพชร)</t>
  </si>
  <si>
    <t>Cactus Extract (สารสกัดจากต้นกระบองเพชร)</t>
  </si>
  <si>
    <t>Cactus Extract 50% (สารสกัดจากต้นกระบองเพชร)</t>
  </si>
  <si>
    <t>Calcium Amino Acid Chelate (แคลเซียม อะมิโนแอซิด คีแลต)</t>
  </si>
  <si>
    <t>Calcium Ascorbate (แคลเซียม แอสคอร์เบต )</t>
  </si>
  <si>
    <t xml:space="preserve">Calcium Carbonate (แคลเซียม คาร์บอเนต) </t>
  </si>
  <si>
    <t>Calcium D Pantothenate (แคลเซียม ดี แพนโทธีเนต)</t>
  </si>
  <si>
    <t>Calcium L-Threonate (แคลเซียม แอล-ทรีโอเนต)</t>
  </si>
  <si>
    <t>Calcium Pyruvate (แคลเซียม ไพรูเวท)</t>
  </si>
  <si>
    <t>Camu Camu Extract (สารสกัดจากคามูคามู)</t>
  </si>
  <si>
    <t>Capsicum Extract (สารสกัดจากพริก)</t>
  </si>
  <si>
    <t>Capsimax®</t>
  </si>
  <si>
    <t>Carrot Extract (สารสกัดจากแครอท)</t>
  </si>
  <si>
    <t>Carrot Powder (ผงแครอท)</t>
  </si>
  <si>
    <t>Celery Powder (ผงขื้นช่าย)</t>
  </si>
  <si>
    <t>Chamomile Powder (ผงคาโมมายด์)</t>
  </si>
  <si>
    <t>H2OSlim</t>
  </si>
  <si>
    <t>Champignon Mushroom Powder (ผงเห็ดแชมปิญอง)</t>
  </si>
  <si>
    <t>Chickpea Protein (โปรตีนจากถั่วลูกไก่)</t>
  </si>
  <si>
    <t>Orisett®</t>
  </si>
  <si>
    <t>Chitosan (ไคโตซาน)</t>
  </si>
  <si>
    <t>Chocolate Flavour (กลิ่นช็อกโกแลต﻿)</t>
  </si>
  <si>
    <t>Chocolate Fudge flavour powder (ผงกลิ่นช็อกโกแลตฟัดจ์)</t>
  </si>
  <si>
    <t>Choline Bitartrate (โคลีน ไบทาร์เทรต)</t>
  </si>
  <si>
    <t>Chromium Amino Acid Chelate (โครเมียม อมิโนแอซิด คีเลต)</t>
  </si>
  <si>
    <t>Chromium Picolinate (โครเมี่ยม พิโคลิเนท)</t>
  </si>
  <si>
    <t>Chrysanthemum Extract (สารสกัดจากเก๊กฮวย)</t>
  </si>
  <si>
    <t>Citric Acid (กรดมะนาว)</t>
  </si>
  <si>
    <t>Citrus Aurantium Extract (สารสกัดจากส้ม)</t>
  </si>
  <si>
    <t>Citrus Bioflavonoids (ซิตรัส ไบโอฟลาโวนอยด์)</t>
  </si>
  <si>
    <t>Co Enzyme Q10 (โคเอนไซม์ คิวเท็น)</t>
  </si>
  <si>
    <t>PURESORB™</t>
  </si>
  <si>
    <t>Cocoa Flavour (กลิ่นโกโก้)</t>
  </si>
  <si>
    <t>Cocoa Powder (ผงโกโก้)</t>
  </si>
  <si>
    <t>Coffee Flavour (กลิ่นกาแฟ)</t>
  </si>
  <si>
    <t>Cola Flavor Powder (ผงกลิ่นโคล่า)</t>
  </si>
  <si>
    <t>Collagen Hydrolysate (คอลลาเจนไฮโดรไลเซท )</t>
  </si>
  <si>
    <t>Collagen Type II (คอลลาเจนไทพ์ทู)</t>
  </si>
  <si>
    <t>Common Millet Powder (ผงข้าวฟ่าง)</t>
  </si>
  <si>
    <t>Conjugated Linoleic Acid Powder (กรดคอนจูเกเตดไลโนเลอิก)</t>
  </si>
  <si>
    <t>Copper Amino Acid Chelate (คอปเปอร์ อะมิโนแอซิด คีเลต)</t>
  </si>
  <si>
    <t>Cordyceps Extract (สารสกัดจากถั่งเช่า)</t>
  </si>
  <si>
    <t>Cordyceps Militaris Powder (ผงถังเช่าสีทอง)</t>
  </si>
  <si>
    <t>Cranberry Powder (ผงแครนเบอร์รี่)</t>
  </si>
  <si>
    <t xml:space="preserve">Creatine Monohydrate (ครีเอทีน โมโนไฮเดรต) </t>
  </si>
  <si>
    <t>Dandelion Extract (สารสกัดจากแดนดิไลออน)</t>
  </si>
  <si>
    <t>Dark Chocolate Flavour Powder (ผงกลิ่นดาร์กช็อกโกแลต)</t>
  </si>
  <si>
    <t>Date Palm Juice Powder (ผงน้ำอินทผลัม)</t>
  </si>
  <si>
    <t>D-Biotin (ดี-ไบโอติน)</t>
  </si>
  <si>
    <t>DL-Alpha Tocopheryl Acetate (วิตามินอีอะซิเตท)</t>
  </si>
  <si>
    <t>Dong Quai Extract (สารสกัดจากตังกุย)</t>
  </si>
  <si>
    <t>Egg White Protein Powder (โปรตีนจากไข่ขาว)</t>
  </si>
  <si>
    <t>ESM®</t>
  </si>
  <si>
    <t>Eggshell Membrane Powder (ผงเยื่อหุ้มเปลือกไข่)</t>
  </si>
  <si>
    <t>Elderberry Extract (สารสกัดจากเอลเดอร์เบอร์รี่)</t>
  </si>
  <si>
    <t>Emblica Extract (สารสกัดจากมะขามป้อม)</t>
  </si>
  <si>
    <t>Chitoglucan :</t>
  </si>
  <si>
    <t>Enoki Mushroom Powder (ผงเห็ดเข็มทอง)</t>
  </si>
  <si>
    <t>EPA and DHA30.5%From Menhaden oil Powder (ผงน้ำมันปลา)</t>
  </si>
  <si>
    <t>Erythritol (อิริทริทอล)</t>
  </si>
  <si>
    <t>Fennel Seed Powder (ผงเมล็ดผักชีล้อม)</t>
  </si>
  <si>
    <t>Fenugreek Extract (สารสกัดจากลูกซัด)</t>
  </si>
  <si>
    <t>Fenudioscin™</t>
  </si>
  <si>
    <t>Furocyst ®</t>
  </si>
  <si>
    <t>Fenugreek Seed  Extract (สารสกัดจากเมล็ดลูกซัด)</t>
  </si>
  <si>
    <t>Fiber Nondiary Creamer (ไฟเบอร์ครีมเทียม)</t>
  </si>
  <si>
    <t>Fingerroot Extract (สารสกัดจากกระชายขาว)</t>
  </si>
  <si>
    <t>Wellnex™</t>
  </si>
  <si>
    <t>Fish Collagen Dipeptide (คอลลาเจนไดเปปไทด์จากปลา)</t>
  </si>
  <si>
    <t>Fish Collagen Peptide (คอลลาเจนเปปไทด์จากปลา)</t>
  </si>
  <si>
    <t>Fish Collagen Tripeptide (คอลลาเจนไตรเปปไทด์จากปลา)</t>
  </si>
  <si>
    <t>omega-3</t>
  </si>
  <si>
    <t xml:space="preserve">Flax Seed Oil Powder (ผงน้ำมันเมล็ดแฟลกซ์)												</t>
  </si>
  <si>
    <t xml:space="preserve">Flaxseed Extract (สารสกัดจากเมล็ดแฟลกซ์) </t>
  </si>
  <si>
    <t>Flaxseed Powder (ผงเมล็ดแฟลกซ์)</t>
  </si>
  <si>
    <t xml:space="preserve">Flaxseed Powder (ผงเมล็ดแฟลกซ์) </t>
  </si>
  <si>
    <t>Folic Acid (กรดโฟลิค)</t>
  </si>
  <si>
    <t>Pycnogenol</t>
  </si>
  <si>
    <t>French Maritime Pine bark Extract (สารสกัดจากเปลือกสนฝรั่งเศส)</t>
  </si>
  <si>
    <t>Fructooligosaccharides (ฟรุคโตโอลิโกแซคคาไรด์)</t>
  </si>
  <si>
    <t xml:space="preserve">Fruit Punch Flavour (กลิ่นฟรุ๊ตพั้นซ์) </t>
  </si>
  <si>
    <t>Galactooligosaccharides (กาแล็กโทโอลิโกแซ็กคาไรด์)</t>
  </si>
  <si>
    <t>EnXtra™</t>
  </si>
  <si>
    <t>Galangal Extract (สารสกัดจากข่า)</t>
  </si>
  <si>
    <t>Gamma Oryzanol (แกมม่า-ออริซานอล)</t>
  </si>
  <si>
    <t>PharmaGABA™</t>
  </si>
  <si>
    <t>Gamma-Aminobutyric Acid (กรดแกมมา-อะมิโนบิวทีริก )</t>
  </si>
  <si>
    <t>Garcinia Extract (สารสกัดจากผลส้มแขก)</t>
  </si>
  <si>
    <t>Garlic Extract (สารสกัดกระเทียม)</t>
  </si>
  <si>
    <t>Ginger Extract (สารสกัดขิง)</t>
  </si>
  <si>
    <t>Ginkgo Biloba Extract (สารสกัดจากใบแป๊ะก๊วย)</t>
  </si>
  <si>
    <t>Ginseng Extract (สารสกัดจากโสม)</t>
  </si>
  <si>
    <t>Goji Berry Extract (โกจิ เบอร์รี่)</t>
  </si>
  <si>
    <t>Goji Berry Extract (สารสกัดจากโกจิเบอร์รี่)</t>
  </si>
  <si>
    <t>Gotu Kola Extract (สารสกัดใบบัวบก)</t>
  </si>
  <si>
    <t>Grape Flavour (กลิ่นองุ่น)</t>
  </si>
  <si>
    <t>Grape Seed Extract  (สารสกัดจากเมล็ดองุ่น)</t>
  </si>
  <si>
    <t>Grape Seed Extract (สารสกัดจากเมล็ดองุ่น)</t>
  </si>
  <si>
    <t>Green Coffee Bean Extract (สารสกัดจากเมล็ดกาแฟไม่คั่ว)</t>
  </si>
  <si>
    <t>Supertea™ Caffeine 98%</t>
  </si>
  <si>
    <t>Green Tea Extract (สารสกัดจากชาเขียว)</t>
  </si>
  <si>
    <t>Innova Tea</t>
  </si>
  <si>
    <t>Epigallocatechin Gallate -EGCG</t>
  </si>
  <si>
    <t>AlphaWave®</t>
  </si>
  <si>
    <t>Green Tea Extract 98% L-Theanine (สารสกัดจากชาเขียว)(แอล-ธีอะนีน)</t>
  </si>
  <si>
    <t>Green Tea Flavour Powder (ผงกลิ่นชาเขียว)</t>
  </si>
  <si>
    <t>Green Tea Milk Flavour (กลิ่นชาเขียวนม)</t>
  </si>
  <si>
    <t>Gynostemma Extract (สารสกัดเจียวกู่หลาน)</t>
  </si>
  <si>
    <t>Haematococcus Pluvialis Powder (สาหร่ายฮีมาโตคอกคัส พลูวิเอลิส)</t>
  </si>
  <si>
    <t>Holy Basil Powder (ผงกระเพรา)</t>
  </si>
  <si>
    <t>Honey Lemon Flavour Powder (ผงกลิ่นน้ำผึ้งมะนาว)</t>
  </si>
  <si>
    <t>Honey Powder (ผงน้ำผึ้ง)</t>
  </si>
  <si>
    <t>Horsetail Extract (สารสกัดจากหญ้าหางม้า)</t>
  </si>
  <si>
    <t>Hydrolyzed Fish Collagen (ไฮโดรไลเซต คอลลาเจนจากปลา)</t>
  </si>
  <si>
    <t>Hydrolyzed Marine Fish Collagen (ไฮโดรไลเซต คอลลาเจนจากปลา)</t>
  </si>
  <si>
    <t>Hydrolyzed Whey Protein (ไฮโดรไลเซต เวย์โปรตีน)</t>
  </si>
  <si>
    <t>Indian gooseberry</t>
  </si>
  <si>
    <t>Indian gooseberry  Powder (ผงมะขามป้อม)</t>
  </si>
  <si>
    <t>Capros</t>
  </si>
  <si>
    <t>Indian Gooseberry Extract (สารสกัดมะขามป้อม)</t>
  </si>
  <si>
    <t>Inositol (อิโนซิทอล )</t>
  </si>
  <si>
    <t>Instant Green Tea Powder (ชาเขียวผงสำเร็จรูป)</t>
  </si>
  <si>
    <t>Fibruline®</t>
  </si>
  <si>
    <t>Inulin (อินนูลิน)</t>
  </si>
  <si>
    <t>Iron Amino Acid Chelate (ไอรอน อะมิโน แอซิด คีเลต)</t>
  </si>
  <si>
    <t>Isolated Soy Protein (โปรตีนจากถั่วเหลือง)</t>
  </si>
  <si>
    <t>Jiaogulan Extract (สารสกัดจากเจียวกู่หลาน)</t>
  </si>
  <si>
    <t>Kale Powder (ผงผักเคล)</t>
  </si>
  <si>
    <t>Kelp Powder (ผงสาหร่ายเคลป์)</t>
  </si>
  <si>
    <t>Kiwi Flavour (กลิ่นกีวี่)</t>
  </si>
  <si>
    <t>Kiwi Fruit Extract (สารสกัดจากกีวี่)</t>
  </si>
  <si>
    <t>Kiwi Fruit Powder (ผงกีวี่)</t>
  </si>
  <si>
    <t xml:space="preserve">Konjac Ceramide </t>
  </si>
  <si>
    <t>Konjac Extract (สารสกัดจากบุก)</t>
  </si>
  <si>
    <t>Konjac Powder (ผงบุก)</t>
  </si>
  <si>
    <t>Korean Ginseng Extract (สารสกัดจากโสมเกาหลี)</t>
  </si>
  <si>
    <t>Lactobacillus acidophilus LA107 (แล็กโทบาซิลลัส แอซิโดฟิลัส )</t>
  </si>
  <si>
    <t>Lactobacillus acidophilus NCFM (แล็กโทบาซิลลัส แอซิโดฟิลัส)</t>
  </si>
  <si>
    <t>Lactobacillus paracasei  LPC178 (แลคโตบาซิลลัส พาราเคซี)</t>
  </si>
  <si>
    <t>Lactobacillus paracasei LPC-37 (แล็กโทบาซิลลัส พาราคาเซอิ)</t>
  </si>
  <si>
    <t>Lactobacillus reuteri LR126 (แลคโตบาซิลลัส รอยเทอรี)</t>
  </si>
  <si>
    <t>Lactobacillus rhamnosus LCR103 (แลคโตบาซิลลัส แรมโนซัส)</t>
  </si>
  <si>
    <t>Flowrafit</t>
  </si>
  <si>
    <t>Lactobacillus rhamnosus Lr-32 (แล็กโทบาซิลลัส รามโนซัส)</t>
  </si>
  <si>
    <t>L-Alanine (แอล-อะลานีน)</t>
  </si>
  <si>
    <t>L-Arginine (แอล-อาร์จีนีน)</t>
  </si>
  <si>
    <t xml:space="preserve">L-Arginine Hydrochloride (แอล-อาร์จินีน ไฮโดรคลอไรด์) </t>
  </si>
  <si>
    <t>L-Carnitine L-Tartrate (แอล-คาร์นีทีน แอล-ทาร์เทรต)</t>
  </si>
  <si>
    <t>L-Citrulline (แอล-ซิทรูลีน)</t>
  </si>
  <si>
    <t>L-Cysteine (แอล-ซิสเทอีน)</t>
  </si>
  <si>
    <t>Lemon Blam Extract (สารสกัดจากสาระแหน่ฝรั่ง)</t>
  </si>
  <si>
    <t>Lemon Flavor Powder (กลิ่นเลม่อน)</t>
  </si>
  <si>
    <t>Lemon Powder (ผงเลม่อน)</t>
  </si>
  <si>
    <t>L-Glutamine (แอล-กลูตามีน)</t>
  </si>
  <si>
    <t>L-Glutathione (แอล-กลูตาไธโอน)</t>
  </si>
  <si>
    <t>L-Glycine (แอล-ไกลซีน)</t>
  </si>
  <si>
    <t>GE219IN10 GutGard®</t>
  </si>
  <si>
    <t>Licorice Extract (สารสกัดจากชะเอมเทศ)</t>
  </si>
  <si>
    <t>Lime Flavour (กลิ่นมะนาว)</t>
  </si>
  <si>
    <t>L-Isoleucine (แอล-ไอโซลูซีน)</t>
  </si>
  <si>
    <t>L-Leucine (แอล-ลูซีน)</t>
  </si>
  <si>
    <t>L-Lysine Hydrochloride (แอล-ไลซีน ไฮโดรคลอไรด์)</t>
  </si>
  <si>
    <t>L-Lysine Monohydrochloride (แอล-ไลซีน โมโนไฮโดรคลอไรด์)</t>
  </si>
  <si>
    <t>L-Methionine (แอล-เมไธโอนีน)</t>
  </si>
  <si>
    <t xml:space="preserve">L-Ornithine (แอล-ออร์นิทีน) </t>
  </si>
  <si>
    <t>L-Ornithine hydrochloride (แอล-ออร์นิทีน ไฮโดรเจนคลอไรด์)</t>
  </si>
  <si>
    <t>L-Phenylalanine  (แอล-ฟินิลอะลานีน)</t>
  </si>
  <si>
    <t>L-Proline (แอล-โพลีน)</t>
  </si>
  <si>
    <t>L-Theanine (แอล-ธีอะนีน)</t>
  </si>
  <si>
    <t>L-Threonine (แอล-ธรีโอนีน)</t>
  </si>
  <si>
    <t>L-Tyrosine (แอล-ไทโรซีน)</t>
  </si>
  <si>
    <t>Lutein (ลูทีน)</t>
  </si>
  <si>
    <t>L-Valine (แอล-วาลีน)</t>
  </si>
  <si>
    <t>Lychee Flavour Powder (กลิ่นลิ้นจี่)</t>
  </si>
  <si>
    <t>Lychee Seed Extract (สารสกัดจากเมล็ดลิ้นจี่)</t>
  </si>
  <si>
    <t>Lycopene (ไลโคปีน)</t>
  </si>
  <si>
    <t>Magnesium Amino Acid Chelate (แมกนีเซียม อมิโนแอซิด คีเลต)</t>
  </si>
  <si>
    <t>Maitake Mushroom Extract (สารสกัดจากเห็ดไมตาเกะ)</t>
  </si>
  <si>
    <t>Malon Extract (สารสกัดจากเมล่อน)</t>
  </si>
  <si>
    <t>Maltodextrin (มอลโทเดกซ์ทริน)</t>
  </si>
  <si>
    <t>Manganese Amino Acid Chelate (แมงกานีส อมิโนแอซิด คีเลต)</t>
  </si>
  <si>
    <t>Maqui Berry Extract (สารสกัดจากมากิเบอร์รี่)</t>
  </si>
  <si>
    <t>Marigold Extract (สารสกัดจากดอกดาวเรือง)</t>
  </si>
  <si>
    <t>Matcha Green Tea Powder (ผงชาเขียวมัทฉะ)</t>
  </si>
  <si>
    <t>Matcha Latte Flavour Powder (ผงกลิ่นมัทฉะลาเต้)</t>
  </si>
  <si>
    <t>Medium-chain triglycerides Oil Powder (น้ำมะพร้าวสกัดเย็นแบบผง )</t>
  </si>
  <si>
    <t>Milk Tea Flavour (กลิ่นชานม)</t>
  </si>
  <si>
    <t>Mix Berry Flavour (กลิ่นมิกซ์เบอร์รี่)</t>
  </si>
  <si>
    <t>Mocha Flavor Powder (กลิ่นมอคค่า)</t>
  </si>
  <si>
    <t>Mulberry Extract (สารสกัดจากหม่อน)</t>
  </si>
  <si>
    <t>Mung Bean Powder (ผงถั่วเขียว)</t>
  </si>
  <si>
    <t>Nattophil®</t>
  </si>
  <si>
    <t>Natto Powder (ผงนัตโตะ)</t>
  </si>
  <si>
    <t>Niacinamide (ไนอะซินาไมด์)</t>
  </si>
  <si>
    <t>Nutra-C®</t>
  </si>
  <si>
    <t>Non Acidic Vitaminn C (วิตามินซีชนิดไม่มีกรด)</t>
  </si>
  <si>
    <t>Non-Dairy Creamer (ครีมเทียม)</t>
  </si>
  <si>
    <t>Non-Dairy Creamer (ครีมเทียมจากน้ำมันมะพร้าว)</t>
  </si>
  <si>
    <t>Norwegian Kelp Powder (ผงสาหร่ายเคลป์)</t>
  </si>
  <si>
    <t>Oat Fiber (ไฟเบอร์จากข้าวโอ๊ต)</t>
  </si>
  <si>
    <t>Olive Fruit Extract (สารสกัดจากผลมะกอก)</t>
  </si>
  <si>
    <t>Orange Flavour (กลิ่นส้ม)</t>
  </si>
  <si>
    <t>Orange Powder (ผงส้ม)</t>
  </si>
  <si>
    <t>Oyster Extract (สารสกัดจากหอยนางรม)</t>
  </si>
  <si>
    <t>Baizen</t>
  </si>
  <si>
    <t>Panmol B complex 120* (วิตามินบีรวม)</t>
  </si>
  <si>
    <t>Papaya Powder (ผงมะละกอ)</t>
  </si>
  <si>
    <t>Partially Hydrolyzed Guar Gum (ไฮโดรไลซด์ กัวร์กัม)</t>
  </si>
  <si>
    <t>Pea Protein (โปรตีนจากถั่วลันเตา)</t>
  </si>
  <si>
    <t>Pea Protein Isolate (โปรตีนจากถั่วลันเตา)</t>
  </si>
  <si>
    <t>Peach  Flavour (กลิ่นพีช)</t>
  </si>
  <si>
    <t xml:space="preserve">Weiteh </t>
  </si>
  <si>
    <t>Peach Powder (ผงพีช)</t>
  </si>
  <si>
    <t>Peppermint Flavour Powder (กลิ่นเปปเปอร์มิ้นต์)</t>
  </si>
  <si>
    <t>Persimmon Extract (สารสกัดจากลูกพลับ)</t>
  </si>
  <si>
    <t>Phosphatidylserine (ฟอสฟาติดิลซีรีน)</t>
  </si>
  <si>
    <t>Phytosterol (ไฟโตสเตอรอล)</t>
  </si>
  <si>
    <t>Pine Bark Extract (สารสกัดจากเปลือกสน)</t>
  </si>
  <si>
    <t>Puredia SeaBerry®</t>
  </si>
  <si>
    <t>Enzogenol®</t>
  </si>
  <si>
    <t>Pineapple Powder (ผงสัปปะรด)</t>
  </si>
  <si>
    <t>Pineapple Extract (สารสกัดจากสับปะรด)</t>
  </si>
  <si>
    <t>Plu Kaow Extract (สารสกัดพลูคาว)</t>
  </si>
  <si>
    <t>PROSMAN</t>
  </si>
  <si>
    <t>Plum Extract (สารสกัดจากลูกพลัม)</t>
  </si>
  <si>
    <t>Pomegranate Extract (สารสกัดจากทับทิม)</t>
  </si>
  <si>
    <t>POMANOX®</t>
  </si>
  <si>
    <t>POMEWHITE®</t>
  </si>
  <si>
    <t>Prune Powder (ผงพรุน)</t>
  </si>
  <si>
    <t>Psyllium Husks Powder (ผงไซเลียมฮัสก์)</t>
  </si>
  <si>
    <t>Pumpkin Powder (ผงฟักทอง)</t>
  </si>
  <si>
    <t>Pumpkin Seed Oil Powder (ผงน้ำมันเมล็ดฟักทอง)</t>
  </si>
  <si>
    <t>Pumpkin Seed Powder (ผงเมล็ดฟักทอง)</t>
  </si>
  <si>
    <t>Purple Sweet Potato Powder (ผงมันม่วง)</t>
  </si>
  <si>
    <t>Purple Tea Powder (ผงชาม่วง)</t>
  </si>
  <si>
    <t>Pyridoxine Hydrochloride (ไพริด็อกซีน ไฮโดรคลอไรด์)</t>
  </si>
  <si>
    <t>Raspberry Flavor (กลิ่นราสพ์เบอร์รี่)</t>
  </si>
  <si>
    <t xml:space="preserve">Agrostar </t>
  </si>
  <si>
    <t>Raspberry Powder (ผงราสพ์เบอร์รี่)</t>
  </si>
  <si>
    <t>Red Bean Powder (ผงถั่วแดง)</t>
  </si>
  <si>
    <t>RedNite ™</t>
  </si>
  <si>
    <t>Red Beet Juice Powder (ผงน้ำบีทรูท)</t>
  </si>
  <si>
    <t xml:space="preserve">Red Marine Algae Powder (แคลเซียมจากสาหร่ายทะเล) </t>
  </si>
  <si>
    <t>Reverse-vine™</t>
  </si>
  <si>
    <t>Red Wine Powder (ผงไวน์แดง)</t>
  </si>
  <si>
    <t>Reishi Extract (สารสกัดจากเห็ดหลินจือ)</t>
  </si>
  <si>
    <t>Resistant Maltodextrin (รีซิสแทนท์ มอลโทเด็กซ์ทริน)</t>
  </si>
  <si>
    <t>Riboflavin (ไรโบเฟลวิน)</t>
  </si>
  <si>
    <t>Rice Ceramide</t>
  </si>
  <si>
    <t>Rice Extract (สารสกัดจากข้าว)(Ceramide)</t>
  </si>
  <si>
    <t>PureChemical / PureBiotech</t>
  </si>
  <si>
    <t>Rice Extract 50% (สารสกัดจากข้าว)</t>
  </si>
  <si>
    <t>Rice Germ Extract (สารสกัดจากจมูกข้าว)</t>
  </si>
  <si>
    <t>Polyphenol</t>
  </si>
  <si>
    <t>Rose Extract (สารสกัดจากกุหลาบ)</t>
  </si>
  <si>
    <t>Rosehip Extract (สารกัดจากกุหลาบ)</t>
  </si>
  <si>
    <t>Roselle Powder(ผงกระเจี๊ยบ)</t>
  </si>
  <si>
    <t>Rosemary Extract (สารสกัดจากโรสแมรี่)</t>
  </si>
  <si>
    <t xml:space="preserve">Japan royal jelly / Kikuji Yamaguchi Method of Natural Beekeeping® </t>
  </si>
  <si>
    <t>Royal Jelly Powder (ผงนมผึ้ง)</t>
  </si>
  <si>
    <t>Safflower Powder (ผงดอกคำฝอย)</t>
  </si>
  <si>
    <t>Salmon Nose Cartilage Extract (สารสกัดจากกระดูกอ่อนจมูกปลาแซลมอน)</t>
  </si>
  <si>
    <t>Satsuma Mandarin Orange Powder (ผงส้มซัทสึมะแมนดาริน)</t>
  </si>
  <si>
    <t>Schisandra Berry Extract (สารสกัดจากชิแซนดร้าเบอร์รี่)</t>
  </si>
  <si>
    <t>Sea Buckthorn Extract (สารสกัดจากซีบัคธอร์น)</t>
  </si>
  <si>
    <t>Sea Buckthorn Powder (ผงซีบัคธอร์น)</t>
  </si>
  <si>
    <t>Selenium Amino Acid Chelate (ซีลีเนียม อมิโนแอซิด คีเลต)</t>
  </si>
  <si>
    <t>Shark Cartilage Powder (ผงกระดูกอ่อนปลาฉลาม)</t>
  </si>
  <si>
    <t>Shiitake Mushroom Extract (สารสกัดเห็ดชิตาเกะ)</t>
  </si>
  <si>
    <t>Siberian Ginseng Extract (สารสกัดโสมไซบีเรีย)</t>
  </si>
  <si>
    <t>Sorbitol (ซอร์บิทอล)</t>
  </si>
  <si>
    <t>Soy Bean Extract (สารสกัดจากเมล็ดถั่วเหลือง)</t>
  </si>
  <si>
    <t xml:space="preserve">Unifine® </t>
  </si>
  <si>
    <t>SOLGEN®</t>
  </si>
  <si>
    <t>Soy Isoflavones (ไอโซฟลาโวนจากถั่วเหลือง)</t>
  </si>
  <si>
    <t>Soy Lecithin Powder (ผงเลซิตินจากถั่วเหลือง)</t>
  </si>
  <si>
    <t>ISOPRO</t>
  </si>
  <si>
    <t>Soy Protein Isolate (โปรตีนจากถั่วเหลือง)</t>
  </si>
  <si>
    <t>Spinach Powder (ผงผักโขม)</t>
  </si>
  <si>
    <t>Spirulina Powder (ผงสาหร่ายสไปรูลิน่า)</t>
  </si>
  <si>
    <t>Spray Dried Decaffeinatde Coffee Extract (กาแฟไม่มีคาเฟอีน)</t>
  </si>
  <si>
    <t>Stable Fizz (สะเตเบิ้ลฟิช)</t>
  </si>
  <si>
    <t>Steviol Glycoside From Stevia Rebaudiana Bertoni (Rebaudioside) (สตีวิออลไกลโคไซด์จากหญ้าหวาน)</t>
  </si>
  <si>
    <t>Strawberry Flavour Powder (ผงกลิ่นสตรอเบอร์รี่)</t>
  </si>
  <si>
    <t>Strawberry Milk Flavour (ผงกลิ่นนมสตรอเบอร์รี่)</t>
  </si>
  <si>
    <t>Strawberry Powder (ผงสตรอเบอร์รี่)</t>
  </si>
  <si>
    <t>Sucralose (ซูคราโลส)</t>
  </si>
  <si>
    <t>Sunflower Oil Powder (ผงน้ำมันทานตะวัน)</t>
  </si>
  <si>
    <t xml:space="preserve">Sunflower Powder (ผงทานตะวัน) </t>
  </si>
  <si>
    <t>Sweet Basil Extract (สารสกัดจากโหระพา)</t>
  </si>
  <si>
    <t>Taiwan Milk Tea Flavor (กลิ่นชานมไต้หวัน)</t>
  </si>
  <si>
    <t>CP193US02 CherryPURE®</t>
  </si>
  <si>
    <t>Tart Cherry Powder (ผงเชอร์รี่ทาร์ต)</t>
  </si>
  <si>
    <t>Taurine (ทอรีน)</t>
  </si>
  <si>
    <t xml:space="preserve">Terminalia bellirica </t>
  </si>
  <si>
    <t>Terminalia bellerica  Powder (ผงสมอพิเภก)</t>
  </si>
  <si>
    <t>AyuFlex®</t>
  </si>
  <si>
    <t>Terminalia Chebula Extract (สารสกัดจากสมอไทย)</t>
  </si>
  <si>
    <t>Terminalia Chebula</t>
  </si>
  <si>
    <t>Terminalia Chebula Powder (ผงสมอไทย)</t>
  </si>
  <si>
    <t>Thai Tea Flavour (กลิ่นชาไทย)</t>
  </si>
  <si>
    <t>Thiamine Hydrochloride (ไทอะมีน ไฮโดรคลอไรด์)</t>
  </si>
  <si>
    <t>Tocotrienol-Tocopherol Complex (วิตามินอี โทโคไตรอีนอล-โทโคฟีรอล)</t>
  </si>
  <si>
    <t>Tomato Extract (สารสกัดจากมะเขือเทศ)</t>
  </si>
  <si>
    <t>10%lycopene</t>
  </si>
  <si>
    <t>Pearl Tomato™</t>
  </si>
  <si>
    <t>Tomato Extract (สารสกัดจากมะเขือเทศ)(Lycopene)</t>
  </si>
  <si>
    <t>Tomato Extract (สารสกัดจากมะเขือเทศขาว)(White)</t>
  </si>
  <si>
    <t>Tomesoral White (Heirloom White Tomato Powder)</t>
  </si>
  <si>
    <t>Tomato Powder (ผงมะเขือเทศ)</t>
  </si>
  <si>
    <t xml:space="preserve">HYDROCURCUMIN </t>
  </si>
  <si>
    <t>Turmeric Extract (สารสกัดขมิ้นชัน)</t>
  </si>
  <si>
    <t>BioTurmin™</t>
  </si>
  <si>
    <t>Longvida®Optimized Curcumin®</t>
  </si>
  <si>
    <t xml:space="preserve">Tuttifruit Flavour (กลิ่นผลไม้รวม) </t>
  </si>
  <si>
    <t>Vanila Flavour (กลิ่นวนิลา)</t>
  </si>
  <si>
    <t>Vitamin A Acetate (วิตามิน เอ อะซิเตท)</t>
  </si>
  <si>
    <t>Vitamin A Palmitate (วิตามิน เอ ปาล์มมิเตท)</t>
  </si>
  <si>
    <t>Vitamin A Palmitate (วิตามิน เอ ปาล์มิเตท)</t>
  </si>
  <si>
    <t>Vitamin B12(วิตามิน บี12)</t>
  </si>
  <si>
    <t>Vitamin D3 (วิตามิน ดี3)</t>
  </si>
  <si>
    <t>Vitamin D3(วิตามิน ดี3)</t>
  </si>
  <si>
    <t>Vitamin K1 (วิตามินเค 1)</t>
  </si>
  <si>
    <t>Fucomax®</t>
  </si>
  <si>
    <t>Wakame Powder (ผงสาหร่ายวากาเมะ)</t>
  </si>
  <si>
    <t xml:space="preserve">Riken Mekabu Fucoidan K </t>
  </si>
  <si>
    <t>Organic</t>
  </si>
  <si>
    <t>Wheat Grass Juice Powder (ผงต้นอ่อนข้าวสาลี)</t>
  </si>
  <si>
    <t>Whey Protein Concentrate (เวย์โปรตีน คอนเซนเทรท )</t>
  </si>
  <si>
    <t>Whey Protein Isolate (เวย์โปรตีนไอโซเลต)</t>
  </si>
  <si>
    <t>White Kidney Bean Extract (สารสกัดจากถั่วขาว)</t>
  </si>
  <si>
    <t>White Malt Flavour Powder (ผงกลิ่นไวท์มอลต์)</t>
  </si>
  <si>
    <t>Oxxynea® 30.5%</t>
  </si>
  <si>
    <t>Oxxynea®Pomegranate Extract (สารสกัดจากทับทิม)</t>
  </si>
  <si>
    <t>Oxxynea®Olive oil Powder (ผงน้ำมันมะกอก)</t>
  </si>
  <si>
    <t>Oxxynea®Green Tea Extract (สารสกัดจากชาเขียว)</t>
  </si>
  <si>
    <t>Oxxynea®Grape Seed Extract (สารสกัดจากเมล็ดองุ่น)</t>
  </si>
  <si>
    <t>Oxxynea®Grapefruit Extract (สารสกัดจากเกรปฟรุต)</t>
  </si>
  <si>
    <t>Oxxynea®Bilberry Extract (สารสกัดจากบิลเบอร์รี่)</t>
  </si>
  <si>
    <t>Oxxynea®Grape Skin Extract (สารสกัดจากเปลือกองุ่น)</t>
  </si>
  <si>
    <t>Oxxynea®Citrus Extract (สารสกัดจากส้ม)</t>
  </si>
  <si>
    <t>Xylo-Oligosaccharides (ไซโล โอลิโกแซคคาไรด์)</t>
  </si>
  <si>
    <t>LLife-Oligo®</t>
  </si>
  <si>
    <t>Yamabushitake Mushroom Powder (ผงเห็ดยามาบูชิตาเกะ)</t>
  </si>
  <si>
    <t>Yogurt Flavour Powder (กลิ่นโยเกิร์ต)</t>
  </si>
  <si>
    <t>Yogurt Powder (ผงโยเกิร์ต)</t>
  </si>
  <si>
    <t>Yuzu Powder (ผงส้มยูสุ)</t>
  </si>
  <si>
    <t>Zeaxanthin (ซีแซนทีน)</t>
  </si>
  <si>
    <t>Zinc Amino Acid Chelate (ซิงก์ อมิโน แอซิด คีเลต)</t>
  </si>
  <si>
    <t>Zinc Gluconate (ซิงก์ กลูโคเนต)</t>
  </si>
  <si>
    <t>Zinc Oxide (ซิงก์ ออกไซด์)</t>
  </si>
  <si>
    <t>ใบสูตรสำหรับขึ้นทะเบียนอย. ส่งให้แอดมินทำใบราคา</t>
  </si>
  <si>
    <t>https://docs.google.com/spreadsheets/d/1B2ugc_QFNQ9R0aWpXjOtKcB1Q-KZeVTW/edit?gid=1187851010#gid=1187851010</t>
  </si>
  <si>
    <t xml:space="preserve">ลิงค์ข้อมูลที่ทางRD จะนำมาใช้ ทำสูตร </t>
  </si>
  <si>
    <t>อยากเพิ่มช่องแนบ สเปคอย. พร้อมเลข FDA จากซัพ เมื่อใส่รหัสสาร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</si>
</sst>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[$-107041E]d\ mmmm\ yyyy"/>
    <numFmt numFmtId="166" formatCode="#,##0.000"/>
    <numFmt numFmtId="167" formatCode="#,##0.0"/>
    <numFmt numFmtId="168" formatCode="[$-107041E]d\ mmm\ yy"/>
    <numFmt numFmtId="169" formatCode="_-* #,##0.00_-;\-* #,##0.00_-;_-* &quot;-&quot;??_-;_-@"/>
  </numFmts>
  <fonts count="26" x14ac:knownFonts="1">
    <font>
      <sz val="10"/>
      <color rgb="FF000000"/>
      <name val="Calibri"/>
      <scheme val="minor"/>
    </font>
    <font>
      <sz val="11"/>
      <color rgb="FF000000"/>
      <name val="Cordia New"/>
      <family val="2"/>
    </font>
    <font>
      <b/>
      <sz val="14"/>
      <color theme="1"/>
      <name val="Cordia New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ordia New"/>
      <family val="2"/>
    </font>
    <font>
      <b/>
      <sz val="11"/>
      <color theme="1"/>
      <name val="Cordia New"/>
      <family val="2"/>
    </font>
    <font>
      <sz val="11"/>
      <color theme="0"/>
      <name val="Cordia New"/>
      <family val="2"/>
    </font>
    <font>
      <sz val="14"/>
      <color theme="1"/>
      <name val="Cordia New"/>
      <family val="2"/>
    </font>
    <font>
      <b/>
      <sz val="11"/>
      <color theme="0"/>
      <name val="Cordia New"/>
      <family val="2"/>
    </font>
    <font>
      <sz val="11"/>
      <color theme="1"/>
      <name val="Calibri"/>
      <family val="2"/>
    </font>
    <font>
      <b/>
      <sz val="11"/>
      <color rgb="FFFF0000"/>
      <name val="Cordia New"/>
      <family val="2"/>
    </font>
    <font>
      <sz val="11"/>
      <color rgb="FFFF0000"/>
      <name val="Cordia New"/>
      <family val="2"/>
    </font>
    <font>
      <sz val="13"/>
      <color theme="1"/>
      <name val="Cordia New"/>
      <family val="2"/>
    </font>
    <font>
      <sz val="12"/>
      <color theme="1"/>
      <name val="Cordia New"/>
      <family val="2"/>
    </font>
    <font>
      <b/>
      <sz val="13"/>
      <color rgb="FFFF0000"/>
      <name val="Cordia New"/>
      <family val="2"/>
    </font>
    <font>
      <sz val="10"/>
      <color theme="1"/>
      <name val="Cordia New"/>
      <family val="2"/>
    </font>
    <font>
      <sz val="13"/>
      <color rgb="FF00B050"/>
      <name val="Cordia New"/>
      <family val="2"/>
    </font>
    <font>
      <sz val="13"/>
      <color rgb="FFFF0000"/>
      <name val="Cordia New"/>
      <family val="2"/>
    </font>
    <font>
      <sz val="12"/>
      <color rgb="FF000000"/>
      <name val="Cordia New"/>
      <family val="2"/>
    </font>
    <font>
      <b/>
      <sz val="12"/>
      <color rgb="FF000000"/>
      <name val="Cordia New"/>
      <family val="2"/>
    </font>
    <font>
      <b/>
      <sz val="12"/>
      <color theme="1"/>
      <name val="Cordia New"/>
      <family val="2"/>
    </font>
    <font>
      <sz val="16"/>
      <color rgb="FF000000"/>
      <name val="AngsanaUPC"/>
      <family val="1"/>
    </font>
    <font>
      <sz val="16"/>
      <color theme="1"/>
      <name val="AngsanaUPC"/>
      <family val="1"/>
    </font>
    <font>
      <sz val="14"/>
      <color rgb="FF000000"/>
      <name val="Cordia New"/>
      <family val="2"/>
    </font>
    <font>
      <u/>
      <sz val="10"/>
      <color theme="1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99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/>
    <xf numFmtId="4" fontId="6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14" xfId="0" applyFont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5" borderId="15" xfId="0" applyFont="1" applyFill="1" applyBorder="1" applyAlignment="1">
      <alignment vertical="center"/>
    </xf>
    <xf numFmtId="166" fontId="5" fillId="4" borderId="16" xfId="0" applyNumberFormat="1" applyFont="1" applyFill="1" applyBorder="1" applyAlignment="1">
      <alignment horizontal="right" vertical="center"/>
    </xf>
    <xf numFmtId="0" fontId="11" fillId="5" borderId="15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166" fontId="5" fillId="4" borderId="17" xfId="0" applyNumberFormat="1" applyFont="1" applyFill="1" applyBorder="1" applyAlignment="1">
      <alignment horizontal="right" vertical="center"/>
    </xf>
    <xf numFmtId="9" fontId="12" fillId="5" borderId="1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168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top"/>
    </xf>
    <xf numFmtId="49" fontId="5" fillId="6" borderId="25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5" fillId="6" borderId="31" xfId="0" applyNumberFormat="1" applyFont="1" applyFill="1" applyBorder="1" applyAlignment="1">
      <alignment vertical="center"/>
    </xf>
    <xf numFmtId="49" fontId="1" fillId="0" borderId="0" xfId="0" applyNumberFormat="1" applyFont="1"/>
    <xf numFmtId="168" fontId="6" fillId="0" borderId="0" xfId="0" applyNumberFormat="1" applyFont="1" applyAlignment="1">
      <alignment horizontal="center" vertical="center"/>
    </xf>
    <xf numFmtId="49" fontId="5" fillId="6" borderId="42" xfId="0" applyNumberFormat="1" applyFont="1" applyFill="1" applyBorder="1" applyAlignment="1">
      <alignment vertical="center"/>
    </xf>
    <xf numFmtId="49" fontId="13" fillId="8" borderId="48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164" fontId="17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6" fillId="0" borderId="0" xfId="0" applyFont="1"/>
    <xf numFmtId="168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4" fillId="0" borderId="0" xfId="0" applyFont="1"/>
    <xf numFmtId="169" fontId="19" fillId="0" borderId="0" xfId="0" applyNumberFormat="1" applyFont="1" applyAlignment="1">
      <alignment vertical="center"/>
    </xf>
    <xf numFmtId="169" fontId="14" fillId="0" borderId="0" xfId="0" applyNumberFormat="1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20" fillId="13" borderId="15" xfId="0" applyFont="1" applyFill="1" applyBorder="1" applyAlignment="1">
      <alignment vertical="center"/>
    </xf>
    <xf numFmtId="0" fontId="21" fillId="13" borderId="15" xfId="0" applyFont="1" applyFill="1" applyBorder="1" applyAlignment="1">
      <alignment vertical="center"/>
    </xf>
    <xf numFmtId="169" fontId="20" fillId="13" borderId="15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19" fillId="4" borderId="15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4" borderId="15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9" fontId="19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 wrapText="1"/>
    </xf>
    <xf numFmtId="169" fontId="22" fillId="0" borderId="0" xfId="0" applyNumberFormat="1" applyFont="1" applyAlignment="1">
      <alignment vertical="center"/>
    </xf>
    <xf numFmtId="10" fontId="19" fillId="0" borderId="0" xfId="0" applyNumberFormat="1" applyFont="1" applyAlignment="1">
      <alignment vertical="center"/>
    </xf>
    <xf numFmtId="0" fontId="2" fillId="0" borderId="35" xfId="0" applyFont="1" applyBorder="1" applyAlignment="1">
      <alignment horizontal="left" vertical="center"/>
    </xf>
    <xf numFmtId="0" fontId="4" fillId="0" borderId="35" xfId="0" applyFont="1" applyBorder="1"/>
    <xf numFmtId="0" fontId="4" fillId="0" borderId="51" xfId="0" applyFont="1" applyBorder="1"/>
    <xf numFmtId="0" fontId="5" fillId="0" borderId="17" xfId="0" applyFont="1" applyBorder="1"/>
    <xf numFmtId="0" fontId="5" fillId="0" borderId="8" xfId="0" applyFont="1" applyBorder="1"/>
    <xf numFmtId="164" fontId="6" fillId="0" borderId="35" xfId="0" applyNumberFormat="1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5" fillId="0" borderId="35" xfId="0" applyFont="1" applyBorder="1"/>
    <xf numFmtId="165" fontId="6" fillId="0" borderId="35" xfId="0" applyNumberFormat="1" applyFont="1" applyBorder="1" applyAlignment="1">
      <alignment vertical="center"/>
    </xf>
    <xf numFmtId="0" fontId="5" fillId="0" borderId="51" xfId="0" applyFont="1" applyBorder="1"/>
    <xf numFmtId="0" fontId="5" fillId="0" borderId="47" xfId="0" applyFont="1" applyBorder="1"/>
    <xf numFmtId="0" fontId="5" fillId="0" borderId="48" xfId="0" applyFont="1" applyBorder="1"/>
    <xf numFmtId="164" fontId="6" fillId="0" borderId="47" xfId="0" applyNumberFormat="1" applyFont="1" applyBorder="1" applyAlignment="1">
      <alignment vertical="center"/>
    </xf>
    <xf numFmtId="0" fontId="5" fillId="0" borderId="52" xfId="0" applyFont="1" applyBorder="1"/>
    <xf numFmtId="4" fontId="6" fillId="0" borderId="35" xfId="0" applyNumberFormat="1" applyFont="1" applyBorder="1" applyAlignment="1">
      <alignment vertical="center"/>
    </xf>
    <xf numFmtId="4" fontId="6" fillId="0" borderId="51" xfId="0" applyNumberFormat="1" applyFont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166" fontId="5" fillId="4" borderId="45" xfId="0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5" fillId="0" borderId="35" xfId="0" applyFont="1" applyBorder="1" applyAlignment="1">
      <alignment horizontal="left" vertical="center"/>
    </xf>
    <xf numFmtId="0" fontId="6" fillId="0" borderId="51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3" fillId="0" borderId="3" xfId="0" applyFont="1" applyBorder="1"/>
    <xf numFmtId="0" fontId="5" fillId="0" borderId="18" xfId="0" applyFont="1" applyBorder="1" applyAlignment="1">
      <alignment horizontal="left" vertical="center"/>
    </xf>
    <xf numFmtId="0" fontId="3" fillId="0" borderId="45" xfId="0" applyFont="1" applyBorder="1"/>
    <xf numFmtId="166" fontId="5" fillId="0" borderId="18" xfId="0" applyNumberFormat="1" applyFont="1" applyBorder="1" applyAlignment="1">
      <alignment horizontal="right" vertical="center"/>
    </xf>
    <xf numFmtId="166" fontId="5" fillId="4" borderId="18" xfId="0" applyNumberFormat="1" applyFont="1" applyFill="1" applyBorder="1" applyAlignment="1">
      <alignment vertical="center"/>
    </xf>
    <xf numFmtId="166" fontId="5" fillId="0" borderId="18" xfId="0" applyNumberFormat="1" applyFont="1" applyBorder="1" applyAlignment="1">
      <alignment vertical="center"/>
    </xf>
    <xf numFmtId="166" fontId="5" fillId="4" borderId="18" xfId="0" applyNumberFormat="1" applyFont="1" applyFill="1" applyBorder="1" applyAlignment="1">
      <alignment horizontal="right" vertical="center"/>
    </xf>
    <xf numFmtId="0" fontId="5" fillId="0" borderId="45" xfId="0" applyFont="1" applyBorder="1" applyAlignment="1">
      <alignment horizontal="left" vertical="center"/>
    </xf>
    <xf numFmtId="4" fontId="11" fillId="4" borderId="20" xfId="0" applyNumberFormat="1" applyFont="1" applyFill="1" applyBorder="1" applyAlignment="1">
      <alignment horizontal="right" vertical="center"/>
    </xf>
    <xf numFmtId="0" fontId="3" fillId="0" borderId="20" xfId="0" applyFont="1" applyBorder="1"/>
    <xf numFmtId="0" fontId="3" fillId="0" borderId="53" xfId="0" applyFont="1" applyBorder="1"/>
    <xf numFmtId="0" fontId="5" fillId="0" borderId="35" xfId="0" applyFont="1" applyBorder="1" applyAlignment="1">
      <alignment horizontal="left" vertical="center"/>
    </xf>
    <xf numFmtId="0" fontId="0" fillId="0" borderId="35" xfId="0" applyBorder="1"/>
    <xf numFmtId="0" fontId="5" fillId="0" borderId="47" xfId="0" applyFont="1" applyBorder="1" applyAlignment="1">
      <alignment horizontal="center" vertical="center"/>
    </xf>
    <xf numFmtId="0" fontId="3" fillId="0" borderId="47" xfId="0" applyFont="1" applyBorder="1"/>
    <xf numFmtId="0" fontId="5" fillId="0" borderId="35" xfId="0" applyFont="1" applyBorder="1" applyAlignment="1">
      <alignment horizontal="center" vertical="center"/>
    </xf>
    <xf numFmtId="0" fontId="0" fillId="0" borderId="51" xfId="0" applyBorder="1"/>
    <xf numFmtId="166" fontId="11" fillId="4" borderId="20" xfId="0" applyNumberFormat="1" applyFont="1" applyFill="1" applyBorder="1" applyAlignment="1">
      <alignment horizontal="right" vertical="center"/>
    </xf>
    <xf numFmtId="0" fontId="5" fillId="0" borderId="4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50" xfId="0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5" fillId="2" borderId="11" xfId="0" applyFont="1" applyFill="1" applyBorder="1" applyAlignment="1">
      <alignment horizontal="center" vertical="center"/>
    </xf>
    <xf numFmtId="0" fontId="3" fillId="0" borderId="48" xfId="0" applyFont="1" applyBorder="1"/>
    <xf numFmtId="0" fontId="6" fillId="2" borderId="1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0" borderId="14" xfId="0" applyFont="1" applyBorder="1"/>
    <xf numFmtId="0" fontId="6" fillId="2" borderId="7" xfId="0" applyFont="1" applyFill="1" applyBorder="1" applyAlignment="1">
      <alignment horizontal="center" vertical="center"/>
    </xf>
    <xf numFmtId="0" fontId="3" fillId="0" borderId="49" xfId="0" applyFont="1" applyBorder="1"/>
    <xf numFmtId="0" fontId="3" fillId="0" borderId="11" xfId="0" applyFont="1" applyBorder="1"/>
    <xf numFmtId="0" fontId="3" fillId="0" borderId="52" xfId="0" applyFont="1" applyBorder="1"/>
    <xf numFmtId="0" fontId="3" fillId="0" borderId="17" xfId="0" applyFont="1" applyBorder="1"/>
    <xf numFmtId="0" fontId="3" fillId="0" borderId="8" xfId="0" applyFont="1" applyBorder="1"/>
    <xf numFmtId="0" fontId="5" fillId="0" borderId="18" xfId="0" applyFont="1" applyBorder="1" applyAlignment="1">
      <alignment horizontal="right" vertical="center"/>
    </xf>
    <xf numFmtId="0" fontId="11" fillId="12" borderId="7" xfId="0" applyFont="1" applyFill="1" applyBorder="1" applyAlignment="1">
      <alignment horizontal="center" vertical="center"/>
    </xf>
    <xf numFmtId="0" fontId="3" fillId="0" borderId="9" xfId="0" applyFont="1" applyBorder="1"/>
    <xf numFmtId="0" fontId="11" fillId="12" borderId="11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2" xfId="0" applyFont="1" applyBorder="1"/>
    <xf numFmtId="49" fontId="12" fillId="7" borderId="7" xfId="0" applyNumberFormat="1" applyFont="1" applyFill="1" applyBorder="1" applyAlignment="1">
      <alignment horizontal="center" vertical="center"/>
    </xf>
    <xf numFmtId="49" fontId="12" fillId="7" borderId="34" xfId="0" applyNumberFormat="1" applyFont="1" applyFill="1" applyBorder="1" applyAlignment="1">
      <alignment horizontal="center" vertical="center"/>
    </xf>
    <xf numFmtId="0" fontId="3" fillId="0" borderId="35" xfId="0" applyFont="1" applyBorder="1"/>
    <xf numFmtId="0" fontId="3" fillId="0" borderId="36" xfId="0" applyFont="1" applyBorder="1"/>
    <xf numFmtId="0" fontId="5" fillId="0" borderId="37" xfId="0" applyFont="1" applyBorder="1" applyAlignment="1">
      <alignment horizontal="center" vertical="center"/>
    </xf>
    <xf numFmtId="0" fontId="3" fillId="0" borderId="37" xfId="0" applyFont="1" applyBorder="1"/>
    <xf numFmtId="168" fontId="5" fillId="0" borderId="38" xfId="0" applyNumberFormat="1" applyFont="1" applyBorder="1" applyAlignment="1">
      <alignment horizontal="center" vertical="center"/>
    </xf>
    <xf numFmtId="0" fontId="3" fillId="0" borderId="38" xfId="0" applyFont="1" applyBorder="1"/>
    <xf numFmtId="49" fontId="14" fillId="9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49" fontId="15" fillId="9" borderId="1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49" fontId="12" fillId="7" borderId="11" xfId="0" applyNumberFormat="1" applyFont="1" applyFill="1" applyBorder="1" applyAlignment="1">
      <alignment horizontal="center" vertical="center"/>
    </xf>
    <xf numFmtId="49" fontId="14" fillId="8" borderId="1" xfId="0" applyNumberFormat="1" applyFont="1" applyFill="1" applyBorder="1" applyAlignment="1">
      <alignment horizontal="center" vertical="center"/>
    </xf>
    <xf numFmtId="49" fontId="13" fillId="8" borderId="1" xfId="0" applyNumberFormat="1" applyFont="1" applyFill="1" applyBorder="1" applyAlignment="1">
      <alignment horizontal="center" vertical="center"/>
    </xf>
    <xf numFmtId="49" fontId="15" fillId="8" borderId="46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49" fontId="12" fillId="6" borderId="22" xfId="0" applyNumberFormat="1" applyFont="1" applyFill="1" applyBorder="1" applyAlignment="1">
      <alignment horizontal="left" vertical="center"/>
    </xf>
    <xf numFmtId="0" fontId="3" fillId="0" borderId="23" xfId="0" applyFont="1" applyBorder="1"/>
    <xf numFmtId="0" fontId="3" fillId="0" borderId="24" xfId="0" applyFont="1" applyBorder="1"/>
    <xf numFmtId="0" fontId="4" fillId="6" borderId="26" xfId="0" applyFont="1" applyFill="1" applyBorder="1"/>
    <xf numFmtId="0" fontId="3" fillId="0" borderId="27" xfId="0" applyFont="1" applyBorder="1"/>
    <xf numFmtId="49" fontId="12" fillId="6" borderId="28" xfId="0" applyNumberFormat="1" applyFont="1" applyFill="1" applyBorder="1" applyAlignment="1">
      <alignment horizontal="left" vertical="center"/>
    </xf>
    <xf numFmtId="0" fontId="3" fillId="0" borderId="29" xfId="0" applyFont="1" applyBorder="1"/>
    <xf numFmtId="0" fontId="3" fillId="0" borderId="30" xfId="0" applyFont="1" applyBorder="1"/>
    <xf numFmtId="0" fontId="4" fillId="6" borderId="32" xfId="0" applyFont="1" applyFill="1" applyBorder="1"/>
    <xf numFmtId="0" fontId="3" fillId="0" borderId="33" xfId="0" applyFont="1" applyBorder="1"/>
    <xf numFmtId="0" fontId="13" fillId="10" borderId="1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3" fillId="0" borderId="4" xfId="0" applyFont="1" applyBorder="1" applyAlignment="1">
      <alignment horizontal="left" vertical="center"/>
    </xf>
    <xf numFmtId="0" fontId="4" fillId="6" borderId="43" xfId="0" applyFont="1" applyFill="1" applyBorder="1"/>
    <xf numFmtId="0" fontId="3" fillId="0" borderId="40" xfId="0" applyFont="1" applyBorder="1"/>
    <xf numFmtId="0" fontId="3" fillId="0" borderId="44" xfId="0" applyFont="1" applyBorder="1"/>
    <xf numFmtId="49" fontId="12" fillId="6" borderId="39" xfId="0" applyNumberFormat="1" applyFont="1" applyFill="1" applyBorder="1" applyAlignment="1">
      <alignment horizontal="left" vertical="center"/>
    </xf>
    <xf numFmtId="0" fontId="3" fillId="0" borderId="41" xfId="0" applyFont="1" applyBorder="1"/>
    <xf numFmtId="4" fontId="6" fillId="4" borderId="37" xfId="0" applyNumberFormat="1" applyFont="1" applyFill="1" applyBorder="1" applyAlignment="1">
      <alignment horizontal="right" vertical="center"/>
    </xf>
    <xf numFmtId="167" fontId="6" fillId="4" borderId="19" xfId="0" applyNumberFormat="1" applyFont="1" applyFill="1" applyBorder="1" applyAlignment="1">
      <alignment horizontal="right" vertical="center"/>
    </xf>
    <xf numFmtId="0" fontId="3" fillId="0" borderId="19" xfId="0" applyFont="1" applyBorder="1"/>
    <xf numFmtId="49" fontId="13" fillId="6" borderId="1" xfId="0" applyNumberFormat="1" applyFont="1" applyFill="1" applyBorder="1" applyAlignment="1">
      <alignment horizontal="center" vertical="center"/>
    </xf>
    <xf numFmtId="166" fontId="11" fillId="0" borderId="21" xfId="0" applyNumberFormat="1" applyFont="1" applyBorder="1" applyAlignment="1">
      <alignment horizontal="right" vertical="center"/>
    </xf>
    <xf numFmtId="0" fontId="3" fillId="0" borderId="21" xfId="0" applyFont="1" applyBorder="1"/>
    <xf numFmtId="4" fontId="11" fillId="4" borderId="21" xfId="0" applyNumberFormat="1" applyFont="1" applyFill="1" applyBorder="1" applyAlignment="1">
      <alignment horizontal="right" vertical="center"/>
    </xf>
    <xf numFmtId="0" fontId="3" fillId="0" borderId="54" xfId="0" applyFont="1" applyBorder="1"/>
    <xf numFmtId="166" fontId="11" fillId="4" borderId="21" xfId="0" applyNumberFormat="1" applyFont="1" applyFill="1" applyBorder="1" applyAlignment="1">
      <alignment horizontal="right" vertical="center"/>
    </xf>
    <xf numFmtId="166" fontId="5" fillId="0" borderId="18" xfId="0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164" fontId="6" fillId="0" borderId="7" xfId="0" applyNumberFormat="1" applyFont="1" applyBorder="1" applyAlignment="1">
      <alignment vertical="center"/>
    </xf>
    <xf numFmtId="165" fontId="6" fillId="0" borderId="17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left" vertical="center"/>
    </xf>
    <xf numFmtId="0" fontId="2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</xdr:colOff>
      <xdr:row>0</xdr:row>
      <xdr:rowOff>0</xdr:rowOff>
    </xdr:from>
    <xdr:ext cx="1752600" cy="676275"/>
    <xdr:pic>
      <xdr:nvPicPr>
        <xdr:cNvPr id="2" name="image1.png" descr="LOGO-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114300</xdr:colOff>
      <xdr:row>1</xdr:row>
      <xdr:rowOff>66675</xdr:rowOff>
    </xdr:from>
    <xdr:to>
      <xdr:col>11</xdr:col>
      <xdr:colOff>22769</xdr:colOff>
      <xdr:row>3</xdr:row>
      <xdr:rowOff>28575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932B6FBE-7E99-7E3D-8DD5-B885CFB32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742950"/>
          <a:ext cx="622844" cy="457200"/>
        </a:xfrm>
        <a:prstGeom prst="rect">
          <a:avLst/>
        </a:prstGeom>
      </xdr:spPr>
    </xdr:pic>
    <xdr:clientData/>
  </xdr:twoCellAnchor>
  <xdr:twoCellAnchor editAs="oneCell">
    <xdr:from>
      <xdr:col>29</xdr:col>
      <xdr:colOff>171450</xdr:colOff>
      <xdr:row>2</xdr:row>
      <xdr:rowOff>0</xdr:rowOff>
    </xdr:from>
    <xdr:to>
      <xdr:col>35</xdr:col>
      <xdr:colOff>63629</xdr:colOff>
      <xdr:row>2</xdr:row>
      <xdr:rowOff>228600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2F4B8828-F926-25CA-7C98-82DA690FC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923925"/>
          <a:ext cx="911354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B2ugc_QFNQ9R0aWpXjOtKcB1Q-KZeVTW/edit?gid=1187851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07"/>
  <sheetViews>
    <sheetView showGridLines="0" tabSelected="1" view="pageBreakPreview" zoomScale="98" zoomScaleNormal="100" zoomScaleSheetLayoutView="98" workbookViewId="0">
      <selection activeCell="AV7" sqref="AV7"/>
    </sheetView>
  </sheetViews>
  <sheetFormatPr defaultColWidth="14.42578125" defaultRowHeight="15" customHeight="1" x14ac:dyDescent="0.2"/>
  <cols>
    <col min="1" max="1" width="1.28515625" customWidth="1"/>
    <col min="2" max="14" width="2.28515625" customWidth="1"/>
    <col min="15" max="15" width="9.140625" customWidth="1"/>
    <col min="16" max="17" width="2.28515625" hidden="1" customWidth="1"/>
    <col min="18" max="18" width="2.140625" hidden="1" customWidth="1"/>
    <col min="19" max="19" width="3.140625" customWidth="1"/>
    <col min="20" max="24" width="1.7109375" customWidth="1"/>
    <col min="25" max="25" width="0.85546875" customWidth="1"/>
    <col min="26" max="28" width="1.7109375" customWidth="1"/>
    <col min="29" max="29" width="3.42578125" customWidth="1"/>
    <col min="30" max="30" width="6.7109375" customWidth="1"/>
    <col min="31" max="33" width="1.7109375" customWidth="1"/>
    <col min="34" max="34" width="2.140625" customWidth="1"/>
    <col min="35" max="38" width="1.7109375" customWidth="1"/>
    <col min="39" max="42" width="2.28515625" customWidth="1"/>
    <col min="43" max="43" width="0.7109375" hidden="1" customWidth="1"/>
    <col min="44" max="45" width="7.42578125" customWidth="1"/>
    <col min="46" max="47" width="2.28515625" customWidth="1"/>
    <col min="48" max="48" width="18.7109375" customWidth="1"/>
    <col min="49" max="49" width="3.7109375" customWidth="1"/>
    <col min="50" max="68" width="2.7109375" customWidth="1"/>
  </cols>
  <sheetData>
    <row r="1" spans="1:68" ht="53.25" customHeight="1" x14ac:dyDescent="0.4">
      <c r="A1" s="1"/>
      <c r="B1" s="19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19.5" customHeight="1" x14ac:dyDescent="0.4">
      <c r="A2" s="1"/>
      <c r="B2" s="195" t="s">
        <v>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2"/>
      <c r="Z2" s="195" t="s">
        <v>1</v>
      </c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2"/>
      <c r="AO2" s="195" t="s">
        <v>2</v>
      </c>
      <c r="AP2" s="94"/>
      <c r="AQ2" s="94"/>
      <c r="AR2" s="94"/>
      <c r="AS2" s="94"/>
      <c r="AT2" s="94"/>
      <c r="AU2" s="112"/>
      <c r="AV2" s="1" t="s">
        <v>615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19.5" customHeight="1" x14ac:dyDescent="0.4">
      <c r="A3" s="1"/>
      <c r="B3" s="195" t="s">
        <v>3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2"/>
      <c r="Z3" s="195" t="s">
        <v>4</v>
      </c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112"/>
      <c r="AV3" s="198" t="s">
        <v>616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6" customHeight="1" x14ac:dyDescent="0.4">
      <c r="A4" s="1"/>
      <c r="B4" s="67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7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9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9.75" customHeight="1" x14ac:dyDescent="0.4">
      <c r="A5" s="2"/>
      <c r="B5" s="187" t="s">
        <v>5</v>
      </c>
      <c r="C5" s="127"/>
      <c r="D5" s="127"/>
      <c r="E5" s="127"/>
      <c r="F5" s="127"/>
      <c r="G5" s="127"/>
      <c r="H5" s="128"/>
      <c r="I5" s="19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87" t="s">
        <v>6</v>
      </c>
      <c r="AA5" s="127"/>
      <c r="AB5" s="127"/>
      <c r="AC5" s="127"/>
      <c r="AD5" s="127"/>
      <c r="AE5" s="127"/>
      <c r="AF5" s="128"/>
      <c r="AG5" s="196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4"/>
      <c r="AV5" s="2" t="s">
        <v>617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9.75" customHeight="1" x14ac:dyDescent="0.4">
      <c r="A6" s="2"/>
      <c r="B6" s="125"/>
      <c r="C6" s="106"/>
      <c r="D6" s="106"/>
      <c r="E6" s="106"/>
      <c r="F6" s="106"/>
      <c r="G6" s="106"/>
      <c r="H6" s="116"/>
      <c r="I6" s="125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25"/>
      <c r="AA6" s="106"/>
      <c r="AB6" s="106"/>
      <c r="AC6" s="106"/>
      <c r="AD6" s="106"/>
      <c r="AE6" s="106"/>
      <c r="AF6" s="11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26"/>
      <c r="AV6" s="2" t="s">
        <v>618</v>
      </c>
      <c r="AW6" s="2"/>
      <c r="AX6" s="3"/>
      <c r="AY6" s="3"/>
      <c r="AZ6" s="3"/>
      <c r="BA6" s="3"/>
      <c r="BB6" s="3"/>
      <c r="BC6" s="3"/>
      <c r="BD6" s="3"/>
      <c r="BE6" s="2"/>
      <c r="BF6" s="2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ht="9.75" customHeight="1" x14ac:dyDescent="0.2">
      <c r="A7" s="2"/>
      <c r="B7" s="187" t="s">
        <v>7</v>
      </c>
      <c r="C7" s="127"/>
      <c r="D7" s="127"/>
      <c r="E7" s="127"/>
      <c r="F7" s="127"/>
      <c r="G7" s="127"/>
      <c r="H7" s="128"/>
      <c r="I7" s="188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87" t="s">
        <v>8</v>
      </c>
      <c r="AA7" s="127"/>
      <c r="AB7" s="127"/>
      <c r="AC7" s="127"/>
      <c r="AD7" s="127"/>
      <c r="AE7" s="127"/>
      <c r="AF7" s="128"/>
      <c r="AG7" s="189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4"/>
      <c r="AV7" s="2"/>
      <c r="AW7" s="2"/>
      <c r="AX7" s="3"/>
      <c r="AY7" s="3"/>
      <c r="AZ7" s="3"/>
      <c r="BA7" s="3"/>
      <c r="BB7" s="3"/>
      <c r="BC7" s="3"/>
      <c r="BD7" s="3"/>
      <c r="BE7" s="3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68" ht="9.75" customHeight="1" x14ac:dyDescent="0.2">
      <c r="A8" s="2"/>
      <c r="B8" s="125"/>
      <c r="C8" s="106"/>
      <c r="D8" s="106"/>
      <c r="E8" s="106"/>
      <c r="F8" s="106"/>
      <c r="G8" s="106"/>
      <c r="H8" s="116"/>
      <c r="I8" s="125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25"/>
      <c r="AA8" s="106"/>
      <c r="AB8" s="106"/>
      <c r="AC8" s="106"/>
      <c r="AD8" s="106"/>
      <c r="AE8" s="106"/>
      <c r="AF8" s="11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26"/>
      <c r="AV8" s="2"/>
      <c r="AW8" s="2"/>
      <c r="AX8" s="5"/>
      <c r="AY8" s="5"/>
      <c r="AZ8" s="5"/>
      <c r="BA8" s="5"/>
      <c r="BB8" s="5"/>
      <c r="BC8" s="6"/>
      <c r="BD8" s="6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 spans="1:68" ht="9.75" customHeight="1" x14ac:dyDescent="0.2">
      <c r="A9" s="2"/>
      <c r="B9" s="187" t="s">
        <v>9</v>
      </c>
      <c r="C9" s="127"/>
      <c r="D9" s="127"/>
      <c r="E9" s="127"/>
      <c r="F9" s="127"/>
      <c r="G9" s="127"/>
      <c r="H9" s="128"/>
      <c r="I9" s="190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87" t="s">
        <v>10</v>
      </c>
      <c r="AA9" s="127"/>
      <c r="AB9" s="127"/>
      <c r="AC9" s="127"/>
      <c r="AD9" s="127"/>
      <c r="AE9" s="127"/>
      <c r="AF9" s="128"/>
      <c r="AG9" s="189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4"/>
      <c r="AV9" s="2"/>
      <c r="AW9" s="2"/>
      <c r="AX9" s="2"/>
      <c r="AY9" s="2"/>
      <c r="AZ9" s="2"/>
      <c r="BA9" s="2"/>
      <c r="BB9" s="2"/>
      <c r="BC9" s="2"/>
      <c r="BD9" s="2"/>
      <c r="BE9" s="3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68" ht="9.75" customHeight="1" x14ac:dyDescent="0.2">
      <c r="A10" s="2"/>
      <c r="B10" s="125"/>
      <c r="C10" s="106"/>
      <c r="D10" s="106"/>
      <c r="E10" s="106"/>
      <c r="F10" s="106"/>
      <c r="G10" s="106"/>
      <c r="H10" s="116"/>
      <c r="I10" s="125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25"/>
      <c r="AA10" s="106"/>
      <c r="AB10" s="106"/>
      <c r="AC10" s="106"/>
      <c r="AD10" s="106"/>
      <c r="AE10" s="106"/>
      <c r="AF10" s="11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26"/>
      <c r="AV10" s="7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68" ht="9.75" customHeight="1" x14ac:dyDescent="0.4">
      <c r="A11" s="2"/>
      <c r="B11" s="187" t="s">
        <v>11</v>
      </c>
      <c r="C11" s="127"/>
      <c r="D11" s="127"/>
      <c r="E11" s="127"/>
      <c r="F11" s="127"/>
      <c r="G11" s="127"/>
      <c r="H11" s="128"/>
      <c r="I11" s="191"/>
      <c r="J11" s="127"/>
      <c r="K11" s="127"/>
      <c r="L11" s="127"/>
      <c r="M11" s="127"/>
      <c r="N11" s="127"/>
      <c r="O11" s="127"/>
      <c r="P11" s="70"/>
      <c r="Q11" s="70"/>
      <c r="R11" s="71"/>
      <c r="S11" s="192" t="s">
        <v>12</v>
      </c>
      <c r="T11" s="128"/>
      <c r="U11" s="193"/>
      <c r="V11" s="127"/>
      <c r="W11" s="127"/>
      <c r="X11" s="127"/>
      <c r="Y11" s="128"/>
      <c r="Z11" s="72"/>
      <c r="AA11" s="73"/>
      <c r="AB11" s="74"/>
      <c r="AC11" s="74"/>
      <c r="AD11" s="74"/>
      <c r="AE11" s="74"/>
      <c r="AF11" s="74"/>
      <c r="AG11" s="75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6"/>
      <c r="AV11" s="7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1:68" ht="9.75" customHeight="1" x14ac:dyDescent="0.4">
      <c r="A12" s="2"/>
      <c r="B12" s="125"/>
      <c r="C12" s="106"/>
      <c r="D12" s="106"/>
      <c r="E12" s="106"/>
      <c r="F12" s="106"/>
      <c r="G12" s="106"/>
      <c r="H12" s="116"/>
      <c r="I12" s="125"/>
      <c r="J12" s="106"/>
      <c r="K12" s="106"/>
      <c r="L12" s="106"/>
      <c r="M12" s="106"/>
      <c r="N12" s="106"/>
      <c r="O12" s="106"/>
      <c r="P12" s="77"/>
      <c r="Q12" s="77"/>
      <c r="R12" s="78"/>
      <c r="S12" s="125"/>
      <c r="T12" s="116"/>
      <c r="U12" s="125"/>
      <c r="V12" s="106"/>
      <c r="W12" s="106"/>
      <c r="X12" s="106"/>
      <c r="Y12" s="116"/>
      <c r="Z12" s="79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80"/>
      <c r="AV12" s="7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1:68" ht="5.25" customHeight="1" x14ac:dyDescent="0.2">
      <c r="A13" s="2"/>
      <c r="B13" s="73"/>
      <c r="C13" s="73"/>
      <c r="D13" s="73"/>
      <c r="E13" s="73"/>
      <c r="F13" s="73"/>
      <c r="G13" s="73"/>
      <c r="H13" s="73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3"/>
      <c r="AM13" s="73"/>
      <c r="AN13" s="73"/>
      <c r="AO13" s="73"/>
      <c r="AP13" s="73"/>
      <c r="AQ13" s="81"/>
      <c r="AR13" s="81"/>
      <c r="AS13" s="81"/>
      <c r="AT13" s="81"/>
      <c r="AU13" s="82"/>
      <c r="AV13" s="7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r="14" spans="1:68" ht="12.75" customHeight="1" x14ac:dyDescent="0.2">
      <c r="A14" s="3"/>
      <c r="B14" s="123" t="s">
        <v>13</v>
      </c>
      <c r="C14" s="128"/>
      <c r="D14" s="123" t="s">
        <v>14</v>
      </c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8"/>
      <c r="T14" s="123" t="s">
        <v>15</v>
      </c>
      <c r="U14" s="127"/>
      <c r="V14" s="127"/>
      <c r="W14" s="127"/>
      <c r="X14" s="127"/>
      <c r="Y14" s="128"/>
      <c r="Z14" s="123" t="s">
        <v>16</v>
      </c>
      <c r="AA14" s="127"/>
      <c r="AB14" s="127"/>
      <c r="AC14" s="128"/>
      <c r="AD14" s="11" t="s">
        <v>17</v>
      </c>
      <c r="AE14" s="123" t="s">
        <v>18</v>
      </c>
      <c r="AF14" s="127"/>
      <c r="AG14" s="127"/>
      <c r="AH14" s="128"/>
      <c r="AI14" s="123" t="s">
        <v>19</v>
      </c>
      <c r="AJ14" s="127"/>
      <c r="AK14" s="127"/>
      <c r="AL14" s="128"/>
      <c r="AM14" s="123" t="s">
        <v>20</v>
      </c>
      <c r="AN14" s="127"/>
      <c r="AO14" s="127"/>
      <c r="AP14" s="127"/>
      <c r="AQ14" s="128"/>
      <c r="AR14" s="121" t="s">
        <v>21</v>
      </c>
      <c r="AS14" s="121" t="s">
        <v>22</v>
      </c>
      <c r="AT14" s="123" t="s">
        <v>23</v>
      </c>
      <c r="AU14" s="124"/>
      <c r="AV14" s="12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</row>
    <row r="15" spans="1:68" ht="12.75" customHeight="1" x14ac:dyDescent="0.2">
      <c r="A15" s="2"/>
      <c r="B15" s="115" t="s">
        <v>24</v>
      </c>
      <c r="C15" s="116"/>
      <c r="D15" s="117" t="s">
        <v>25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16"/>
      <c r="T15" s="115" t="s">
        <v>26</v>
      </c>
      <c r="U15" s="106"/>
      <c r="V15" s="106"/>
      <c r="W15" s="106"/>
      <c r="X15" s="106"/>
      <c r="Y15" s="116"/>
      <c r="Z15" s="117" t="s">
        <v>27</v>
      </c>
      <c r="AA15" s="106"/>
      <c r="AB15" s="106"/>
      <c r="AC15" s="116"/>
      <c r="AD15" s="83" t="s">
        <v>28</v>
      </c>
      <c r="AE15" s="115" t="s">
        <v>29</v>
      </c>
      <c r="AF15" s="106"/>
      <c r="AG15" s="106"/>
      <c r="AH15" s="116"/>
      <c r="AI15" s="115" t="s">
        <v>30</v>
      </c>
      <c r="AJ15" s="106"/>
      <c r="AK15" s="106"/>
      <c r="AL15" s="116"/>
      <c r="AM15" s="115" t="s">
        <v>31</v>
      </c>
      <c r="AN15" s="106"/>
      <c r="AO15" s="106"/>
      <c r="AP15" s="106"/>
      <c r="AQ15" s="116"/>
      <c r="AR15" s="122"/>
      <c r="AS15" s="122"/>
      <c r="AT15" s="125"/>
      <c r="AU15" s="126"/>
      <c r="AV15" s="7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r="16" spans="1:68" ht="17.25" x14ac:dyDescent="0.2">
      <c r="A16" s="2"/>
      <c r="B16" s="91">
        <v>1</v>
      </c>
      <c r="C16" s="92"/>
      <c r="D16" s="93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2"/>
      <c r="T16" s="95"/>
      <c r="U16" s="94"/>
      <c r="V16" s="94"/>
      <c r="W16" s="94"/>
      <c r="X16" s="94"/>
      <c r="Y16" s="92"/>
      <c r="Z16" s="96">
        <f t="shared" ref="Z16:Z35" si="0">SUM(T16*$I$11/1000000)</f>
        <v>0</v>
      </c>
      <c r="AA16" s="94"/>
      <c r="AB16" s="94"/>
      <c r="AC16" s="92"/>
      <c r="AD16" s="84" t="e">
        <f>T16*100/T36</f>
        <v>#DIV/0!</v>
      </c>
      <c r="AE16" s="97"/>
      <c r="AF16" s="94"/>
      <c r="AG16" s="94"/>
      <c r="AH16" s="92"/>
      <c r="AI16" s="98">
        <f t="shared" ref="AI16:AI35" si="1">SUM(AE16/1000000*T16)</f>
        <v>0</v>
      </c>
      <c r="AJ16" s="94"/>
      <c r="AK16" s="94"/>
      <c r="AL16" s="92"/>
      <c r="AM16" s="91"/>
      <c r="AN16" s="94"/>
      <c r="AO16" s="94"/>
      <c r="AP16" s="94"/>
      <c r="AQ16" s="92"/>
      <c r="AR16" s="13"/>
      <c r="AS16" s="85"/>
      <c r="AT16" s="111"/>
      <c r="AU16" s="112"/>
      <c r="AV16" s="2"/>
      <c r="AW16" s="2"/>
      <c r="AX16" s="2"/>
      <c r="AY16" s="3"/>
      <c r="AZ16" s="3"/>
      <c r="BA16" s="3"/>
      <c r="BB16" s="3"/>
      <c r="BC16" s="3"/>
      <c r="BD16" s="9"/>
      <c r="BE16" s="9"/>
      <c r="BF16" s="9"/>
      <c r="BG16" s="9"/>
      <c r="BH16" s="14"/>
      <c r="BI16" s="14"/>
      <c r="BJ16" s="14"/>
      <c r="BK16" s="14"/>
      <c r="BL16" s="14"/>
      <c r="BM16" s="9"/>
      <c r="BN16" s="9"/>
      <c r="BO16" s="9"/>
      <c r="BP16" s="9"/>
    </row>
    <row r="17" spans="1:68" ht="17.25" x14ac:dyDescent="0.4">
      <c r="A17" s="2"/>
      <c r="B17" s="91">
        <v>2</v>
      </c>
      <c r="C17" s="92"/>
      <c r="D17" s="93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2"/>
      <c r="T17" s="95"/>
      <c r="U17" s="94"/>
      <c r="V17" s="94"/>
      <c r="W17" s="94"/>
      <c r="X17" s="94"/>
      <c r="Y17" s="92"/>
      <c r="Z17" s="96">
        <f t="shared" si="0"/>
        <v>0</v>
      </c>
      <c r="AA17" s="94"/>
      <c r="AB17" s="94"/>
      <c r="AC17" s="92"/>
      <c r="AD17" s="84" t="e">
        <f>T17*100/T36</f>
        <v>#DIV/0!</v>
      </c>
      <c r="AE17" s="97"/>
      <c r="AF17" s="94"/>
      <c r="AG17" s="94"/>
      <c r="AH17" s="92"/>
      <c r="AI17" s="98">
        <f t="shared" si="1"/>
        <v>0</v>
      </c>
      <c r="AJ17" s="94"/>
      <c r="AK17" s="94"/>
      <c r="AL17" s="92"/>
      <c r="AM17" s="91"/>
      <c r="AN17" s="94"/>
      <c r="AO17" s="94"/>
      <c r="AP17" s="94"/>
      <c r="AQ17" s="15"/>
      <c r="AR17" s="13"/>
      <c r="AS17" s="86"/>
      <c r="AT17" s="111"/>
      <c r="AU17" s="112"/>
      <c r="AV17" s="16"/>
      <c r="AW17" s="2"/>
      <c r="AX17" s="2"/>
      <c r="AY17" s="17"/>
      <c r="AZ17" s="17"/>
      <c r="BA17" s="17"/>
      <c r="BB17" s="17"/>
      <c r="BC17" s="17"/>
      <c r="BD17" s="2"/>
      <c r="BE17" s="2"/>
      <c r="BF17" s="4"/>
      <c r="BG17" s="4"/>
      <c r="BH17" s="2"/>
      <c r="BI17" s="2"/>
      <c r="BJ17" s="2"/>
      <c r="BK17" s="2"/>
      <c r="BL17" s="14"/>
      <c r="BM17" s="9"/>
      <c r="BN17" s="9"/>
      <c r="BO17" s="9"/>
      <c r="BP17" s="9"/>
    </row>
    <row r="18" spans="1:68" ht="17.25" x14ac:dyDescent="0.4">
      <c r="A18" s="2"/>
      <c r="B18" s="91">
        <v>3</v>
      </c>
      <c r="C18" s="92"/>
      <c r="D18" s="93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2"/>
      <c r="T18" s="95"/>
      <c r="U18" s="94"/>
      <c r="V18" s="94"/>
      <c r="W18" s="94"/>
      <c r="X18" s="94"/>
      <c r="Y18" s="92"/>
      <c r="Z18" s="96">
        <f t="shared" si="0"/>
        <v>0</v>
      </c>
      <c r="AA18" s="94"/>
      <c r="AB18" s="94"/>
      <c r="AC18" s="92"/>
      <c r="AD18" s="18" t="e">
        <f>T18*100/T36</f>
        <v>#DIV/0!</v>
      </c>
      <c r="AE18" s="97"/>
      <c r="AF18" s="94"/>
      <c r="AG18" s="94"/>
      <c r="AH18" s="92"/>
      <c r="AI18" s="98">
        <f t="shared" si="1"/>
        <v>0</v>
      </c>
      <c r="AJ18" s="94"/>
      <c r="AK18" s="94"/>
      <c r="AL18" s="92"/>
      <c r="AM18" s="91"/>
      <c r="AN18" s="94"/>
      <c r="AO18" s="94"/>
      <c r="AP18" s="94"/>
      <c r="AQ18" s="15"/>
      <c r="AR18" s="13"/>
      <c r="AS18" s="86"/>
      <c r="AT18" s="111"/>
      <c r="AU18" s="112"/>
      <c r="AV18" s="2"/>
      <c r="AW18" s="2"/>
      <c r="AX18" s="2"/>
      <c r="AY18" s="19"/>
      <c r="AZ18" s="20"/>
      <c r="BA18" s="20"/>
      <c r="BB18" s="20"/>
      <c r="BC18" s="20"/>
      <c r="BD18" s="3"/>
      <c r="BE18" s="3"/>
      <c r="BF18" s="3"/>
      <c r="BG18" s="3"/>
      <c r="BH18" s="2"/>
      <c r="BI18" s="2"/>
      <c r="BJ18" s="2"/>
      <c r="BK18" s="2"/>
      <c r="BL18" s="3"/>
      <c r="BM18" s="3"/>
      <c r="BN18" s="3"/>
      <c r="BO18" s="3"/>
      <c r="BP18" s="3"/>
    </row>
    <row r="19" spans="1:68" ht="17.25" x14ac:dyDescent="0.4">
      <c r="A19" s="2"/>
      <c r="B19" s="91">
        <v>4</v>
      </c>
      <c r="C19" s="92"/>
      <c r="D19" s="93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2"/>
      <c r="T19" s="95"/>
      <c r="U19" s="94"/>
      <c r="V19" s="94"/>
      <c r="W19" s="94"/>
      <c r="X19" s="94"/>
      <c r="Y19" s="92"/>
      <c r="Z19" s="96">
        <f t="shared" si="0"/>
        <v>0</v>
      </c>
      <c r="AA19" s="94"/>
      <c r="AB19" s="94"/>
      <c r="AC19" s="92"/>
      <c r="AD19" s="84" t="e">
        <f>T19*100/T36</f>
        <v>#DIV/0!</v>
      </c>
      <c r="AE19" s="97"/>
      <c r="AF19" s="94"/>
      <c r="AG19" s="94"/>
      <c r="AH19" s="92"/>
      <c r="AI19" s="98">
        <f t="shared" si="1"/>
        <v>0</v>
      </c>
      <c r="AJ19" s="94"/>
      <c r="AK19" s="94"/>
      <c r="AL19" s="92"/>
      <c r="AM19" s="91"/>
      <c r="AN19" s="94"/>
      <c r="AO19" s="94"/>
      <c r="AP19" s="94"/>
      <c r="AQ19" s="92"/>
      <c r="AR19" s="13"/>
      <c r="AS19" s="86"/>
      <c r="AT19" s="111"/>
      <c r="AU19" s="112"/>
      <c r="AV19" s="16"/>
      <c r="AW19" s="2"/>
      <c r="AX19" s="2"/>
      <c r="AY19" s="17"/>
      <c r="AZ19" s="17"/>
      <c r="BA19" s="17"/>
      <c r="BB19" s="17"/>
      <c r="BC19" s="17"/>
      <c r="BD19" s="2"/>
      <c r="BE19" s="2"/>
      <c r="BF19" s="4"/>
      <c r="BG19" s="4"/>
      <c r="BH19" s="2"/>
      <c r="BI19" s="2"/>
      <c r="BJ19" s="2"/>
      <c r="BK19" s="2"/>
      <c r="BL19" s="14"/>
      <c r="BM19" s="9"/>
      <c r="BN19" s="9"/>
      <c r="BO19" s="9"/>
      <c r="BP19" s="9"/>
    </row>
    <row r="20" spans="1:68" ht="17.25" x14ac:dyDescent="0.4">
      <c r="A20" s="2"/>
      <c r="B20" s="91">
        <v>5</v>
      </c>
      <c r="C20" s="92"/>
      <c r="D20" s="93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2"/>
      <c r="T20" s="95"/>
      <c r="U20" s="94"/>
      <c r="V20" s="94"/>
      <c r="W20" s="94"/>
      <c r="X20" s="94"/>
      <c r="Y20" s="92"/>
      <c r="Z20" s="96">
        <f t="shared" si="0"/>
        <v>0</v>
      </c>
      <c r="AA20" s="94"/>
      <c r="AB20" s="94"/>
      <c r="AC20" s="92"/>
      <c r="AD20" s="84" t="e">
        <f>T20*100/T36</f>
        <v>#DIV/0!</v>
      </c>
      <c r="AE20" s="97"/>
      <c r="AF20" s="94"/>
      <c r="AG20" s="94"/>
      <c r="AH20" s="92"/>
      <c r="AI20" s="98">
        <f t="shared" si="1"/>
        <v>0</v>
      </c>
      <c r="AJ20" s="94"/>
      <c r="AK20" s="94"/>
      <c r="AL20" s="92"/>
      <c r="AM20" s="91"/>
      <c r="AN20" s="94"/>
      <c r="AO20" s="94"/>
      <c r="AP20" s="94"/>
      <c r="AQ20" s="92"/>
      <c r="AR20" s="13"/>
      <c r="AS20" s="86"/>
      <c r="AT20" s="111"/>
      <c r="AU20" s="112"/>
      <c r="AV20" s="113"/>
      <c r="AW20" s="114"/>
      <c r="AX20" s="114"/>
      <c r="AY20" s="114"/>
      <c r="AZ20" s="3"/>
      <c r="BA20" s="3"/>
      <c r="BB20" s="3"/>
      <c r="BC20" s="3"/>
      <c r="BD20" s="9"/>
      <c r="BE20" s="9"/>
      <c r="BF20" s="9"/>
      <c r="BG20" s="9"/>
      <c r="BH20" s="14"/>
      <c r="BI20" s="14"/>
      <c r="BJ20" s="14"/>
      <c r="BK20" s="14"/>
      <c r="BL20" s="14"/>
      <c r="BM20" s="9"/>
      <c r="BN20" s="9"/>
      <c r="BO20" s="9"/>
      <c r="BP20" s="9"/>
    </row>
    <row r="21" spans="1:68" ht="17.25" x14ac:dyDescent="0.4">
      <c r="A21" s="2"/>
      <c r="B21" s="91">
        <v>6</v>
      </c>
      <c r="C21" s="92"/>
      <c r="D21" s="93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2"/>
      <c r="T21" s="95"/>
      <c r="U21" s="94"/>
      <c r="V21" s="94"/>
      <c r="W21" s="94"/>
      <c r="X21" s="94"/>
      <c r="Y21" s="92"/>
      <c r="Z21" s="96">
        <f t="shared" si="0"/>
        <v>0</v>
      </c>
      <c r="AA21" s="94"/>
      <c r="AB21" s="94"/>
      <c r="AC21" s="92"/>
      <c r="AD21" s="84" t="e">
        <f>T21*100/T36</f>
        <v>#DIV/0!</v>
      </c>
      <c r="AE21" s="97"/>
      <c r="AF21" s="94"/>
      <c r="AG21" s="94"/>
      <c r="AH21" s="92"/>
      <c r="AI21" s="98">
        <f t="shared" si="1"/>
        <v>0</v>
      </c>
      <c r="AJ21" s="94"/>
      <c r="AK21" s="94"/>
      <c r="AL21" s="92"/>
      <c r="AM21" s="91"/>
      <c r="AN21" s="94"/>
      <c r="AO21" s="94"/>
      <c r="AP21" s="94"/>
      <c r="AQ21" s="92"/>
      <c r="AR21" s="13"/>
      <c r="AS21" s="86"/>
      <c r="AT21" s="111"/>
      <c r="AU21" s="112"/>
      <c r="AV21" s="2"/>
      <c r="AW21" s="2"/>
      <c r="AX21" s="2"/>
      <c r="AY21" s="3"/>
      <c r="AZ21" s="3"/>
      <c r="BA21" s="3"/>
      <c r="BB21" s="3"/>
      <c r="BC21" s="3"/>
      <c r="BD21" s="9"/>
      <c r="BE21" s="9"/>
      <c r="BF21" s="9"/>
      <c r="BG21" s="9"/>
      <c r="BH21" s="14"/>
      <c r="BI21" s="14"/>
      <c r="BJ21" s="14"/>
      <c r="BK21" s="14"/>
      <c r="BL21" s="14"/>
      <c r="BM21" s="9"/>
      <c r="BN21" s="9"/>
      <c r="BO21" s="9"/>
      <c r="BP21" s="9"/>
    </row>
    <row r="22" spans="1:68" ht="17.25" x14ac:dyDescent="0.4">
      <c r="A22" s="2"/>
      <c r="B22" s="91">
        <v>7</v>
      </c>
      <c r="C22" s="92"/>
      <c r="D22" s="93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2"/>
      <c r="T22" s="95"/>
      <c r="U22" s="94"/>
      <c r="V22" s="94"/>
      <c r="W22" s="94"/>
      <c r="X22" s="94"/>
      <c r="Y22" s="92"/>
      <c r="Z22" s="96">
        <f t="shared" si="0"/>
        <v>0</v>
      </c>
      <c r="AA22" s="94"/>
      <c r="AB22" s="94"/>
      <c r="AC22" s="92"/>
      <c r="AD22" s="18" t="e">
        <f>T22*100/T36</f>
        <v>#DIV/0!</v>
      </c>
      <c r="AE22" s="97"/>
      <c r="AF22" s="94"/>
      <c r="AG22" s="94"/>
      <c r="AH22" s="92"/>
      <c r="AI22" s="98">
        <f t="shared" si="1"/>
        <v>0</v>
      </c>
      <c r="AJ22" s="94"/>
      <c r="AK22" s="94"/>
      <c r="AL22" s="92"/>
      <c r="AM22" s="91"/>
      <c r="AN22" s="94"/>
      <c r="AO22" s="94"/>
      <c r="AP22" s="94"/>
      <c r="AQ22" s="92"/>
      <c r="AR22" s="13"/>
      <c r="AS22" s="86"/>
      <c r="AT22" s="111"/>
      <c r="AU22" s="112"/>
      <c r="AV22" s="2"/>
      <c r="AW22" s="2"/>
      <c r="AX22" s="2"/>
      <c r="AY22" s="3"/>
      <c r="AZ22" s="3"/>
      <c r="BA22" s="3"/>
      <c r="BB22" s="3"/>
      <c r="BC22" s="3"/>
      <c r="BD22" s="9"/>
      <c r="BE22" s="9"/>
      <c r="BF22" s="9"/>
      <c r="BG22" s="9"/>
      <c r="BH22" s="14"/>
      <c r="BI22" s="14"/>
      <c r="BJ22" s="14"/>
      <c r="BK22" s="14"/>
      <c r="BL22" s="14"/>
      <c r="BM22" s="9"/>
      <c r="BN22" s="9"/>
      <c r="BO22" s="9"/>
      <c r="BP22" s="9"/>
    </row>
    <row r="23" spans="1:68" ht="17.25" x14ac:dyDescent="0.4">
      <c r="A23" s="2"/>
      <c r="B23" s="91">
        <v>8</v>
      </c>
      <c r="C23" s="92"/>
      <c r="D23" s="93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2"/>
      <c r="T23" s="95"/>
      <c r="U23" s="94"/>
      <c r="V23" s="94"/>
      <c r="W23" s="94"/>
      <c r="X23" s="94"/>
      <c r="Y23" s="92"/>
      <c r="Z23" s="96">
        <f t="shared" si="0"/>
        <v>0</v>
      </c>
      <c r="AA23" s="94"/>
      <c r="AB23" s="94"/>
      <c r="AC23" s="92"/>
      <c r="AD23" s="22" t="e">
        <f>T23*100/T36</f>
        <v>#DIV/0!</v>
      </c>
      <c r="AE23" s="97"/>
      <c r="AF23" s="94"/>
      <c r="AG23" s="94"/>
      <c r="AH23" s="92"/>
      <c r="AI23" s="98">
        <f t="shared" si="1"/>
        <v>0</v>
      </c>
      <c r="AJ23" s="94"/>
      <c r="AK23" s="94"/>
      <c r="AL23" s="92"/>
      <c r="AM23" s="91"/>
      <c r="AN23" s="94"/>
      <c r="AO23" s="94"/>
      <c r="AP23" s="94"/>
      <c r="AQ23" s="92"/>
      <c r="AR23" s="13"/>
      <c r="AS23" s="86"/>
      <c r="AT23" s="111"/>
      <c r="AU23" s="112"/>
      <c r="AV23" s="113"/>
      <c r="AW23" s="114"/>
      <c r="AX23" s="114"/>
      <c r="AY23" s="114"/>
      <c r="AZ23" s="3"/>
      <c r="BA23" s="3"/>
      <c r="BB23" s="3"/>
      <c r="BC23" s="3"/>
      <c r="BD23" s="9"/>
      <c r="BE23" s="9"/>
      <c r="BF23" s="9"/>
      <c r="BG23" s="9"/>
      <c r="BH23" s="14"/>
      <c r="BI23" s="14"/>
      <c r="BJ23" s="14"/>
      <c r="BK23" s="14"/>
      <c r="BL23" s="14"/>
      <c r="BM23" s="9"/>
      <c r="BN23" s="9"/>
      <c r="BO23" s="9"/>
      <c r="BP23" s="9"/>
    </row>
    <row r="24" spans="1:68" ht="17.25" x14ac:dyDescent="0.2">
      <c r="A24" s="2"/>
      <c r="B24" s="91">
        <v>9</v>
      </c>
      <c r="C24" s="92"/>
      <c r="D24" s="93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2"/>
      <c r="T24" s="95"/>
      <c r="U24" s="94"/>
      <c r="V24" s="94"/>
      <c r="W24" s="94"/>
      <c r="X24" s="94"/>
      <c r="Y24" s="92"/>
      <c r="Z24" s="96">
        <f t="shared" si="0"/>
        <v>0</v>
      </c>
      <c r="AA24" s="94"/>
      <c r="AB24" s="94"/>
      <c r="AC24" s="92"/>
      <c r="AD24" s="84" t="e">
        <f>T24*100/T36</f>
        <v>#DIV/0!</v>
      </c>
      <c r="AE24" s="97"/>
      <c r="AF24" s="94"/>
      <c r="AG24" s="94"/>
      <c r="AH24" s="92"/>
      <c r="AI24" s="98">
        <f t="shared" si="1"/>
        <v>0</v>
      </c>
      <c r="AJ24" s="94"/>
      <c r="AK24" s="94"/>
      <c r="AL24" s="92"/>
      <c r="AM24" s="91"/>
      <c r="AN24" s="94"/>
      <c r="AO24" s="94"/>
      <c r="AP24" s="94"/>
      <c r="AQ24" s="92"/>
      <c r="AR24" s="13"/>
      <c r="AS24" s="85"/>
      <c r="AT24" s="111"/>
      <c r="AU24" s="112"/>
      <c r="AV24" s="2"/>
      <c r="AW24" s="2"/>
      <c r="AX24" s="2"/>
      <c r="AY24" s="19"/>
      <c r="AZ24" s="20"/>
      <c r="BA24" s="20"/>
      <c r="BB24" s="20"/>
      <c r="BC24" s="20"/>
      <c r="BD24" s="3"/>
      <c r="BE24" s="3"/>
      <c r="BF24" s="3"/>
      <c r="BG24" s="3"/>
      <c r="BH24" s="2"/>
      <c r="BI24" s="2"/>
      <c r="BJ24" s="2"/>
      <c r="BK24" s="2"/>
      <c r="BL24" s="3"/>
      <c r="BM24" s="3"/>
      <c r="BN24" s="3"/>
      <c r="BO24" s="3"/>
      <c r="BP24" s="3"/>
    </row>
    <row r="25" spans="1:68" ht="17.25" x14ac:dyDescent="0.2">
      <c r="A25" s="2"/>
      <c r="B25" s="91">
        <v>10</v>
      </c>
      <c r="C25" s="92"/>
      <c r="D25" s="93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2"/>
      <c r="T25" s="95"/>
      <c r="U25" s="94"/>
      <c r="V25" s="94"/>
      <c r="W25" s="94"/>
      <c r="X25" s="94"/>
      <c r="Y25" s="92"/>
      <c r="Z25" s="96">
        <f t="shared" si="0"/>
        <v>0</v>
      </c>
      <c r="AA25" s="94"/>
      <c r="AB25" s="94"/>
      <c r="AC25" s="92"/>
      <c r="AD25" s="84" t="e">
        <f>T25*100/T36</f>
        <v>#DIV/0!</v>
      </c>
      <c r="AE25" s="97"/>
      <c r="AF25" s="94"/>
      <c r="AG25" s="94"/>
      <c r="AH25" s="92"/>
      <c r="AI25" s="98">
        <f t="shared" si="1"/>
        <v>0</v>
      </c>
      <c r="AJ25" s="94"/>
      <c r="AK25" s="94"/>
      <c r="AL25" s="92"/>
      <c r="AM25" s="91"/>
      <c r="AN25" s="94"/>
      <c r="AO25" s="94"/>
      <c r="AP25" s="94"/>
      <c r="AQ25" s="92"/>
      <c r="AR25" s="13"/>
      <c r="AS25" s="85"/>
      <c r="AT25" s="111"/>
      <c r="AU25" s="112"/>
      <c r="AV25" s="16"/>
      <c r="AW25" s="2"/>
      <c r="AX25" s="2"/>
      <c r="AY25" s="17"/>
      <c r="AZ25" s="17"/>
      <c r="BA25" s="17"/>
      <c r="BB25" s="17"/>
      <c r="BC25" s="17"/>
      <c r="BD25" s="2"/>
      <c r="BE25" s="2"/>
      <c r="BF25" s="4"/>
      <c r="BG25" s="4"/>
      <c r="BH25" s="2"/>
      <c r="BI25" s="2"/>
      <c r="BJ25" s="2"/>
      <c r="BK25" s="2"/>
      <c r="BL25" s="14"/>
      <c r="BM25" s="9"/>
      <c r="BN25" s="9"/>
      <c r="BO25" s="9"/>
      <c r="BP25" s="9"/>
    </row>
    <row r="26" spans="1:68" ht="17.25" x14ac:dyDescent="0.2">
      <c r="A26" s="2"/>
      <c r="B26" s="91">
        <v>11</v>
      </c>
      <c r="C26" s="92"/>
      <c r="D26" s="93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2"/>
      <c r="T26" s="95"/>
      <c r="U26" s="94"/>
      <c r="V26" s="94"/>
      <c r="W26" s="94"/>
      <c r="X26" s="94"/>
      <c r="Y26" s="92"/>
      <c r="Z26" s="96">
        <f t="shared" si="0"/>
        <v>0</v>
      </c>
      <c r="AA26" s="94"/>
      <c r="AB26" s="94"/>
      <c r="AC26" s="92"/>
      <c r="AD26" s="84" t="e">
        <f>T26*100/T36</f>
        <v>#DIV/0!</v>
      </c>
      <c r="AE26" s="97"/>
      <c r="AF26" s="94"/>
      <c r="AG26" s="94"/>
      <c r="AH26" s="92"/>
      <c r="AI26" s="98">
        <f t="shared" si="1"/>
        <v>0</v>
      </c>
      <c r="AJ26" s="94"/>
      <c r="AK26" s="94"/>
      <c r="AL26" s="92"/>
      <c r="AM26" s="91"/>
      <c r="AN26" s="94"/>
      <c r="AO26" s="94"/>
      <c r="AP26" s="94"/>
      <c r="AQ26" s="92"/>
      <c r="AR26" s="13"/>
      <c r="AS26" s="85"/>
      <c r="AT26" s="111"/>
      <c r="AU26" s="112"/>
      <c r="AV26" s="2"/>
      <c r="AW26" s="2"/>
      <c r="AX26" s="2"/>
      <c r="AY26" s="19"/>
      <c r="AZ26" s="20"/>
      <c r="BA26" s="20"/>
      <c r="BB26" s="20"/>
      <c r="BC26" s="20"/>
      <c r="BD26" s="3"/>
      <c r="BE26" s="3"/>
      <c r="BF26" s="3"/>
      <c r="BG26" s="3"/>
      <c r="BH26" s="2"/>
      <c r="BI26" s="2"/>
      <c r="BJ26" s="2"/>
      <c r="BK26" s="2"/>
      <c r="BL26" s="3"/>
      <c r="BM26" s="3"/>
      <c r="BN26" s="3"/>
      <c r="BO26" s="3"/>
      <c r="BP26" s="3"/>
    </row>
    <row r="27" spans="1:68" ht="17.25" x14ac:dyDescent="0.2">
      <c r="A27" s="2"/>
      <c r="B27" s="91">
        <v>12</v>
      </c>
      <c r="C27" s="92"/>
      <c r="D27" s="93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2"/>
      <c r="T27" s="95"/>
      <c r="U27" s="94"/>
      <c r="V27" s="94"/>
      <c r="W27" s="94"/>
      <c r="X27" s="94"/>
      <c r="Y27" s="92"/>
      <c r="Z27" s="96">
        <f t="shared" si="0"/>
        <v>0</v>
      </c>
      <c r="AA27" s="94"/>
      <c r="AB27" s="94"/>
      <c r="AC27" s="92"/>
      <c r="AD27" s="84" t="e">
        <f>T27*100/T36</f>
        <v>#DIV/0!</v>
      </c>
      <c r="AE27" s="97"/>
      <c r="AF27" s="94"/>
      <c r="AG27" s="94"/>
      <c r="AH27" s="92"/>
      <c r="AI27" s="98">
        <f t="shared" si="1"/>
        <v>0</v>
      </c>
      <c r="AJ27" s="94"/>
      <c r="AK27" s="94"/>
      <c r="AL27" s="92"/>
      <c r="AM27" s="91"/>
      <c r="AN27" s="94"/>
      <c r="AO27" s="94"/>
      <c r="AP27" s="94"/>
      <c r="AQ27" s="92"/>
      <c r="AR27" s="13"/>
      <c r="AS27" s="85"/>
      <c r="AT27" s="111"/>
      <c r="AU27" s="112"/>
      <c r="AV27" s="16"/>
      <c r="AW27" s="2"/>
      <c r="AX27" s="2"/>
      <c r="AY27" s="17"/>
      <c r="AZ27" s="17"/>
      <c r="BA27" s="17"/>
      <c r="BB27" s="17"/>
      <c r="BC27" s="17"/>
      <c r="BD27" s="2"/>
      <c r="BE27" s="2"/>
      <c r="BF27" s="4"/>
      <c r="BG27" s="4"/>
      <c r="BH27" s="2"/>
      <c r="BI27" s="2"/>
      <c r="BJ27" s="2"/>
      <c r="BK27" s="2"/>
      <c r="BL27" s="14"/>
      <c r="BM27" s="9"/>
      <c r="BN27" s="9"/>
      <c r="BO27" s="9"/>
      <c r="BP27" s="9"/>
    </row>
    <row r="28" spans="1:68" ht="17.25" x14ac:dyDescent="0.2">
      <c r="A28" s="2"/>
      <c r="B28" s="91">
        <v>13</v>
      </c>
      <c r="C28" s="92"/>
      <c r="D28" s="93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2"/>
      <c r="T28" s="95"/>
      <c r="U28" s="94"/>
      <c r="V28" s="94"/>
      <c r="W28" s="94"/>
      <c r="X28" s="94"/>
      <c r="Y28" s="92"/>
      <c r="Z28" s="96">
        <f t="shared" si="0"/>
        <v>0</v>
      </c>
      <c r="AA28" s="94"/>
      <c r="AB28" s="94"/>
      <c r="AC28" s="92"/>
      <c r="AD28" s="18" t="e">
        <f>T28*100/T36</f>
        <v>#DIV/0!</v>
      </c>
      <c r="AE28" s="97"/>
      <c r="AF28" s="94"/>
      <c r="AG28" s="94"/>
      <c r="AH28" s="92"/>
      <c r="AI28" s="98">
        <f t="shared" si="1"/>
        <v>0</v>
      </c>
      <c r="AJ28" s="94"/>
      <c r="AK28" s="94"/>
      <c r="AL28" s="92"/>
      <c r="AM28" s="91"/>
      <c r="AN28" s="94"/>
      <c r="AO28" s="94"/>
      <c r="AP28" s="94"/>
      <c r="AQ28" s="92"/>
      <c r="AR28" s="13"/>
      <c r="AS28" s="85"/>
      <c r="AT28" s="111"/>
      <c r="AU28" s="112"/>
      <c r="AV28" s="2"/>
      <c r="AW28" s="2"/>
      <c r="AX28" s="2"/>
      <c r="AY28" s="20"/>
      <c r="AZ28" s="20"/>
      <c r="BA28" s="20"/>
      <c r="BB28" s="20"/>
      <c r="BC28" s="20"/>
      <c r="BD28" s="9"/>
      <c r="BE28" s="9"/>
      <c r="BF28" s="9"/>
      <c r="BG28" s="9"/>
      <c r="BH28" s="14"/>
      <c r="BI28" s="14"/>
      <c r="BJ28" s="14"/>
      <c r="BK28" s="14"/>
      <c r="BL28" s="14"/>
      <c r="BM28" s="9"/>
      <c r="BN28" s="9"/>
      <c r="BO28" s="9"/>
      <c r="BP28" s="9"/>
    </row>
    <row r="29" spans="1:68" ht="17.25" x14ac:dyDescent="0.2">
      <c r="A29" s="2"/>
      <c r="B29" s="91">
        <v>14</v>
      </c>
      <c r="C29" s="92"/>
      <c r="D29" s="93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2"/>
      <c r="T29" s="95"/>
      <c r="U29" s="94"/>
      <c r="V29" s="94"/>
      <c r="W29" s="94"/>
      <c r="X29" s="94"/>
      <c r="Y29" s="92"/>
      <c r="Z29" s="96">
        <f t="shared" si="0"/>
        <v>0</v>
      </c>
      <c r="AA29" s="94"/>
      <c r="AB29" s="94"/>
      <c r="AC29" s="92"/>
      <c r="AD29" s="84" t="e">
        <f>T29*100/T36</f>
        <v>#DIV/0!</v>
      </c>
      <c r="AE29" s="97"/>
      <c r="AF29" s="94"/>
      <c r="AG29" s="94"/>
      <c r="AH29" s="92"/>
      <c r="AI29" s="98">
        <f t="shared" si="1"/>
        <v>0</v>
      </c>
      <c r="AJ29" s="94"/>
      <c r="AK29" s="94"/>
      <c r="AL29" s="92"/>
      <c r="AM29" s="91"/>
      <c r="AN29" s="94"/>
      <c r="AO29" s="94"/>
      <c r="AP29" s="94"/>
      <c r="AQ29" s="92"/>
      <c r="AR29" s="13"/>
      <c r="AS29" s="85"/>
      <c r="AT29" s="111"/>
      <c r="AU29" s="112"/>
      <c r="AV29" s="2"/>
      <c r="AW29" s="2"/>
      <c r="AX29" s="2"/>
      <c r="AY29" s="20"/>
      <c r="AZ29" s="20"/>
      <c r="BA29" s="20"/>
      <c r="BB29" s="20"/>
      <c r="BC29" s="20"/>
      <c r="BD29" s="9"/>
      <c r="BE29" s="9"/>
      <c r="BF29" s="9"/>
      <c r="BG29" s="9"/>
      <c r="BH29" s="14"/>
      <c r="BI29" s="14"/>
      <c r="BJ29" s="14"/>
      <c r="BK29" s="14"/>
      <c r="BL29" s="14"/>
      <c r="BM29" s="9"/>
      <c r="BN29" s="9"/>
      <c r="BO29" s="9"/>
      <c r="BP29" s="9"/>
    </row>
    <row r="30" spans="1:68" ht="17.25" x14ac:dyDescent="0.2">
      <c r="A30" s="2"/>
      <c r="B30" s="91">
        <v>15</v>
      </c>
      <c r="C30" s="92"/>
      <c r="D30" s="93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2"/>
      <c r="T30" s="95"/>
      <c r="U30" s="94"/>
      <c r="V30" s="94"/>
      <c r="W30" s="94"/>
      <c r="X30" s="94"/>
      <c r="Y30" s="92"/>
      <c r="Z30" s="96">
        <f t="shared" si="0"/>
        <v>0</v>
      </c>
      <c r="AA30" s="94"/>
      <c r="AB30" s="94"/>
      <c r="AC30" s="92"/>
      <c r="AD30" s="84" t="e">
        <f>T30*100/T36</f>
        <v>#DIV/0!</v>
      </c>
      <c r="AE30" s="97"/>
      <c r="AF30" s="94"/>
      <c r="AG30" s="94"/>
      <c r="AH30" s="92"/>
      <c r="AI30" s="98">
        <f t="shared" si="1"/>
        <v>0</v>
      </c>
      <c r="AJ30" s="94"/>
      <c r="AK30" s="94"/>
      <c r="AL30" s="92"/>
      <c r="AM30" s="91"/>
      <c r="AN30" s="94"/>
      <c r="AO30" s="94"/>
      <c r="AP30" s="94"/>
      <c r="AQ30" s="92"/>
      <c r="AR30" s="13"/>
      <c r="AS30" s="85"/>
      <c r="AT30" s="111"/>
      <c r="AU30" s="112"/>
      <c r="AV30" s="2"/>
      <c r="AW30" s="2"/>
      <c r="AX30" s="2"/>
      <c r="AY30" s="3"/>
      <c r="AZ30" s="3"/>
      <c r="BA30" s="3"/>
      <c r="BB30" s="3"/>
      <c r="BC30" s="3"/>
      <c r="BD30" s="9"/>
      <c r="BE30" s="9"/>
      <c r="BF30" s="9"/>
      <c r="BG30" s="9"/>
      <c r="BH30" s="14"/>
      <c r="BI30" s="14"/>
      <c r="BJ30" s="14"/>
      <c r="BK30" s="14"/>
      <c r="BL30" s="14"/>
      <c r="BM30" s="9"/>
      <c r="BN30" s="9"/>
      <c r="BO30" s="9"/>
      <c r="BP30" s="9"/>
    </row>
    <row r="31" spans="1:68" ht="17.25" x14ac:dyDescent="0.2">
      <c r="A31" s="2"/>
      <c r="B31" s="91">
        <v>16</v>
      </c>
      <c r="C31" s="92"/>
      <c r="D31" s="93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2"/>
      <c r="T31" s="95"/>
      <c r="U31" s="94"/>
      <c r="V31" s="94"/>
      <c r="W31" s="94"/>
      <c r="X31" s="94"/>
      <c r="Y31" s="92"/>
      <c r="Z31" s="96">
        <f t="shared" si="0"/>
        <v>0</v>
      </c>
      <c r="AA31" s="94"/>
      <c r="AB31" s="94"/>
      <c r="AC31" s="92"/>
      <c r="AD31" s="18" t="e">
        <f>T31*100/T36</f>
        <v>#DIV/0!</v>
      </c>
      <c r="AE31" s="97"/>
      <c r="AF31" s="94"/>
      <c r="AG31" s="94"/>
      <c r="AH31" s="92"/>
      <c r="AI31" s="98">
        <f t="shared" si="1"/>
        <v>0</v>
      </c>
      <c r="AJ31" s="94"/>
      <c r="AK31" s="94"/>
      <c r="AL31" s="92"/>
      <c r="AM31" s="186"/>
      <c r="AN31" s="94"/>
      <c r="AO31" s="94"/>
      <c r="AP31" s="94"/>
      <c r="AQ31" s="92"/>
      <c r="AR31" s="13"/>
      <c r="AS31" s="85"/>
      <c r="AT31" s="111"/>
      <c r="AU31" s="112"/>
      <c r="AV31" s="2"/>
      <c r="AW31" s="2"/>
      <c r="AX31" s="2"/>
      <c r="AY31" s="3"/>
      <c r="AZ31" s="3"/>
      <c r="BA31" s="3"/>
      <c r="BB31" s="3"/>
      <c r="BC31" s="3"/>
      <c r="BD31" s="9"/>
      <c r="BE31" s="9"/>
      <c r="BF31" s="9"/>
      <c r="BG31" s="9"/>
      <c r="BH31" s="14"/>
      <c r="BI31" s="14"/>
      <c r="BJ31" s="14"/>
      <c r="BK31" s="14"/>
      <c r="BL31" s="14"/>
      <c r="BM31" s="9"/>
      <c r="BN31" s="9"/>
      <c r="BO31" s="9"/>
      <c r="BP31" s="9"/>
    </row>
    <row r="32" spans="1:68" ht="17.25" x14ac:dyDescent="0.2">
      <c r="A32" s="2"/>
      <c r="B32" s="91">
        <v>17</v>
      </c>
      <c r="C32" s="92"/>
      <c r="D32" s="93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2"/>
      <c r="T32" s="95"/>
      <c r="U32" s="94"/>
      <c r="V32" s="94"/>
      <c r="W32" s="94"/>
      <c r="X32" s="94"/>
      <c r="Y32" s="92"/>
      <c r="Z32" s="96">
        <f t="shared" si="0"/>
        <v>0</v>
      </c>
      <c r="AA32" s="94"/>
      <c r="AB32" s="94"/>
      <c r="AC32" s="92"/>
      <c r="AD32" s="84" t="e">
        <f>T32*100/T36</f>
        <v>#DIV/0!</v>
      </c>
      <c r="AE32" s="97"/>
      <c r="AF32" s="94"/>
      <c r="AG32" s="94"/>
      <c r="AH32" s="92"/>
      <c r="AI32" s="98">
        <f t="shared" si="1"/>
        <v>0</v>
      </c>
      <c r="AJ32" s="94"/>
      <c r="AK32" s="94"/>
      <c r="AL32" s="92"/>
      <c r="AM32" s="91"/>
      <c r="AN32" s="94"/>
      <c r="AO32" s="94"/>
      <c r="AP32" s="94"/>
      <c r="AQ32" s="92"/>
      <c r="AR32" s="13"/>
      <c r="AS32" s="85"/>
      <c r="AT32" s="111"/>
      <c r="AU32" s="112"/>
      <c r="AV32" s="16"/>
      <c r="AW32" s="2"/>
      <c r="AX32" s="2"/>
      <c r="AY32" s="17"/>
      <c r="AZ32" s="17"/>
      <c r="BA32" s="17"/>
      <c r="BB32" s="17"/>
      <c r="BC32" s="17"/>
      <c r="BD32" s="2"/>
      <c r="BE32" s="2"/>
      <c r="BF32" s="4"/>
      <c r="BG32" s="4"/>
      <c r="BH32" s="2"/>
      <c r="BI32" s="2"/>
      <c r="BJ32" s="2"/>
      <c r="BK32" s="2"/>
      <c r="BL32" s="14"/>
      <c r="BM32" s="9"/>
      <c r="BN32" s="9"/>
      <c r="BO32" s="9"/>
      <c r="BP32" s="9"/>
    </row>
    <row r="33" spans="1:68" ht="17.25" x14ac:dyDescent="0.2">
      <c r="A33" s="2"/>
      <c r="B33" s="91">
        <v>18</v>
      </c>
      <c r="C33" s="92"/>
      <c r="D33" s="93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2"/>
      <c r="T33" s="95"/>
      <c r="U33" s="94"/>
      <c r="V33" s="94"/>
      <c r="W33" s="94"/>
      <c r="X33" s="94"/>
      <c r="Y33" s="92"/>
      <c r="Z33" s="96">
        <f t="shared" si="0"/>
        <v>0</v>
      </c>
      <c r="AA33" s="94"/>
      <c r="AB33" s="94"/>
      <c r="AC33" s="92"/>
      <c r="AD33" s="18" t="e">
        <f>T33*100/T36</f>
        <v>#DIV/0!</v>
      </c>
      <c r="AE33" s="97"/>
      <c r="AF33" s="94"/>
      <c r="AG33" s="94"/>
      <c r="AH33" s="92"/>
      <c r="AI33" s="98">
        <f t="shared" si="1"/>
        <v>0</v>
      </c>
      <c r="AJ33" s="94"/>
      <c r="AK33" s="94"/>
      <c r="AL33" s="92"/>
      <c r="AM33" s="91"/>
      <c r="AN33" s="94"/>
      <c r="AO33" s="94"/>
      <c r="AP33" s="94"/>
      <c r="AQ33" s="92"/>
      <c r="AR33" s="13"/>
      <c r="AS33" s="85"/>
      <c r="AT33" s="111"/>
      <c r="AU33" s="112"/>
      <c r="AV33" s="2"/>
      <c r="AW33" s="2"/>
      <c r="AX33" s="2"/>
      <c r="AY33" s="20"/>
      <c r="AZ33" s="20"/>
      <c r="BA33" s="20"/>
      <c r="BB33" s="20"/>
      <c r="BC33" s="20"/>
      <c r="BD33" s="9"/>
      <c r="BE33" s="9"/>
      <c r="BF33" s="9"/>
      <c r="BG33" s="9"/>
      <c r="BH33" s="14"/>
      <c r="BI33" s="14"/>
      <c r="BJ33" s="14"/>
      <c r="BK33" s="14"/>
      <c r="BL33" s="14"/>
      <c r="BM33" s="9"/>
      <c r="BN33" s="9"/>
      <c r="BO33" s="9"/>
      <c r="BP33" s="9"/>
    </row>
    <row r="34" spans="1:68" ht="17.25" x14ac:dyDescent="0.2">
      <c r="A34" s="2"/>
      <c r="B34" s="91">
        <v>19</v>
      </c>
      <c r="C34" s="92"/>
      <c r="D34" s="93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2"/>
      <c r="T34" s="95"/>
      <c r="U34" s="94"/>
      <c r="V34" s="94"/>
      <c r="W34" s="94"/>
      <c r="X34" s="94"/>
      <c r="Y34" s="92"/>
      <c r="Z34" s="96">
        <f t="shared" si="0"/>
        <v>0</v>
      </c>
      <c r="AA34" s="94"/>
      <c r="AB34" s="94"/>
      <c r="AC34" s="92"/>
      <c r="AD34" s="84" t="e">
        <f>T34*100/T36</f>
        <v>#DIV/0!</v>
      </c>
      <c r="AE34" s="97"/>
      <c r="AF34" s="94"/>
      <c r="AG34" s="94"/>
      <c r="AH34" s="92"/>
      <c r="AI34" s="98">
        <f t="shared" si="1"/>
        <v>0</v>
      </c>
      <c r="AJ34" s="94"/>
      <c r="AK34" s="94"/>
      <c r="AL34" s="92"/>
      <c r="AM34" s="91"/>
      <c r="AN34" s="94"/>
      <c r="AO34" s="94"/>
      <c r="AP34" s="94"/>
      <c r="AQ34" s="92"/>
      <c r="AR34" s="13"/>
      <c r="AS34" s="23"/>
      <c r="AT34" s="111"/>
      <c r="AU34" s="112"/>
      <c r="AV34" s="2"/>
      <c r="AW34" s="2"/>
      <c r="AX34" s="2"/>
      <c r="AY34" s="3"/>
      <c r="AZ34" s="3"/>
      <c r="BA34" s="3"/>
      <c r="BB34" s="3"/>
      <c r="BC34" s="3"/>
      <c r="BD34" s="9"/>
      <c r="BE34" s="9"/>
      <c r="BF34" s="9"/>
      <c r="BG34" s="9"/>
      <c r="BH34" s="14"/>
      <c r="BI34" s="14"/>
      <c r="BJ34" s="14"/>
      <c r="BK34" s="14"/>
      <c r="BL34" s="14"/>
      <c r="BM34" s="9"/>
      <c r="BN34" s="9"/>
      <c r="BO34" s="9"/>
      <c r="BP34" s="9"/>
    </row>
    <row r="35" spans="1:68" ht="17.25" x14ac:dyDescent="0.2">
      <c r="A35" s="2"/>
      <c r="B35" s="91">
        <v>20</v>
      </c>
      <c r="C35" s="92"/>
      <c r="D35" s="93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2"/>
      <c r="T35" s="95"/>
      <c r="U35" s="94"/>
      <c r="V35" s="94"/>
      <c r="W35" s="94"/>
      <c r="X35" s="94"/>
      <c r="Y35" s="92"/>
      <c r="Z35" s="96">
        <f t="shared" si="0"/>
        <v>0</v>
      </c>
      <c r="AA35" s="94"/>
      <c r="AB35" s="94"/>
      <c r="AC35" s="92"/>
      <c r="AD35" s="18" t="e">
        <f>T35*100/T36</f>
        <v>#DIV/0!</v>
      </c>
      <c r="AE35" s="97"/>
      <c r="AF35" s="94"/>
      <c r="AG35" s="94"/>
      <c r="AH35" s="92"/>
      <c r="AI35" s="98">
        <f t="shared" si="1"/>
        <v>0</v>
      </c>
      <c r="AJ35" s="94"/>
      <c r="AK35" s="94"/>
      <c r="AL35" s="92"/>
      <c r="AM35" s="91"/>
      <c r="AN35" s="94"/>
      <c r="AO35" s="94"/>
      <c r="AP35" s="94"/>
      <c r="AQ35" s="92"/>
      <c r="AR35" s="13"/>
      <c r="AS35" s="85"/>
      <c r="AT35" s="111"/>
      <c r="AU35" s="112"/>
      <c r="AV35" s="2"/>
      <c r="AW35" s="2"/>
      <c r="AX35" s="2"/>
      <c r="AY35" s="3"/>
      <c r="AZ35" s="3"/>
      <c r="BA35" s="3"/>
      <c r="BB35" s="3"/>
      <c r="BC35" s="3"/>
      <c r="BD35" s="9"/>
      <c r="BE35" s="9"/>
      <c r="BF35" s="9"/>
      <c r="BG35" s="9"/>
      <c r="BH35" s="14"/>
      <c r="BI35" s="14"/>
      <c r="BJ35" s="14"/>
      <c r="BK35" s="14"/>
      <c r="BL35" s="14"/>
      <c r="BM35" s="9"/>
      <c r="BN35" s="9"/>
      <c r="BO35" s="9"/>
      <c r="BP35" s="9"/>
    </row>
    <row r="36" spans="1:68" ht="17.25" x14ac:dyDescent="0.2">
      <c r="A36" s="2"/>
      <c r="B36" s="129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2"/>
      <c r="T36" s="98">
        <f>SUM(T17:Y35)</f>
        <v>0</v>
      </c>
      <c r="U36" s="94"/>
      <c r="V36" s="94"/>
      <c r="W36" s="94"/>
      <c r="X36" s="94"/>
      <c r="Y36" s="92"/>
      <c r="Z36" s="98">
        <f>SUM(Z17:AC35)</f>
        <v>0</v>
      </c>
      <c r="AA36" s="94"/>
      <c r="AB36" s="94"/>
      <c r="AC36" s="92"/>
      <c r="AD36" s="18" t="e">
        <f>SUM(AD17:AD35)</f>
        <v>#DIV/0!</v>
      </c>
      <c r="AE36" s="119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112"/>
      <c r="AV36" s="2"/>
      <c r="AW36" s="2"/>
      <c r="AX36" s="2"/>
      <c r="AY36" s="21"/>
      <c r="AZ36" s="21"/>
      <c r="BA36" s="24"/>
      <c r="BB36" s="24"/>
      <c r="BC36" s="24"/>
      <c r="BD36" s="24"/>
      <c r="BE36" s="113"/>
      <c r="BF36" s="114"/>
      <c r="BG36" s="114"/>
      <c r="BH36" s="114"/>
      <c r="BI36" s="114"/>
      <c r="BJ36" s="114"/>
      <c r="BK36" s="25"/>
      <c r="BL36" s="25"/>
      <c r="BM36" s="9"/>
      <c r="BN36" s="9"/>
      <c r="BO36" s="9"/>
      <c r="BP36" s="9"/>
    </row>
    <row r="37" spans="1:68" ht="12.75" customHeight="1" x14ac:dyDescent="0.2">
      <c r="A37" s="3"/>
      <c r="B37" s="123" t="s">
        <v>13</v>
      </c>
      <c r="C37" s="128"/>
      <c r="D37" s="123" t="s">
        <v>32</v>
      </c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8"/>
      <c r="T37" s="123" t="s">
        <v>15</v>
      </c>
      <c r="U37" s="127"/>
      <c r="V37" s="127"/>
      <c r="W37" s="127"/>
      <c r="X37" s="127"/>
      <c r="Y37" s="128"/>
      <c r="Z37" s="123" t="s">
        <v>16</v>
      </c>
      <c r="AA37" s="127"/>
      <c r="AB37" s="127"/>
      <c r="AC37" s="128"/>
      <c r="AD37" s="11" t="s">
        <v>17</v>
      </c>
      <c r="AE37" s="123" t="s">
        <v>18</v>
      </c>
      <c r="AF37" s="127"/>
      <c r="AG37" s="127"/>
      <c r="AH37" s="128"/>
      <c r="AI37" s="123" t="s">
        <v>19</v>
      </c>
      <c r="AJ37" s="127"/>
      <c r="AK37" s="127"/>
      <c r="AL37" s="128"/>
      <c r="AM37" s="123" t="s">
        <v>20</v>
      </c>
      <c r="AN37" s="127"/>
      <c r="AO37" s="127"/>
      <c r="AP37" s="127"/>
      <c r="AQ37" s="128"/>
      <c r="AR37" s="121" t="s">
        <v>21</v>
      </c>
      <c r="AS37" s="121" t="s">
        <v>22</v>
      </c>
      <c r="AT37" s="123" t="s">
        <v>23</v>
      </c>
      <c r="AU37" s="124"/>
      <c r="AV37" s="12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</row>
    <row r="38" spans="1:68" ht="12.75" customHeight="1" x14ac:dyDescent="0.2">
      <c r="A38" s="2"/>
      <c r="B38" s="115" t="s">
        <v>24</v>
      </c>
      <c r="C38" s="116"/>
      <c r="D38" s="117" t="s">
        <v>33</v>
      </c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16"/>
      <c r="T38" s="115" t="s">
        <v>26</v>
      </c>
      <c r="U38" s="106"/>
      <c r="V38" s="106"/>
      <c r="W38" s="106"/>
      <c r="X38" s="106"/>
      <c r="Y38" s="116"/>
      <c r="Z38" s="117" t="s">
        <v>27</v>
      </c>
      <c r="AA38" s="106"/>
      <c r="AB38" s="106"/>
      <c r="AC38" s="116"/>
      <c r="AD38" s="83" t="s">
        <v>28</v>
      </c>
      <c r="AE38" s="115" t="s">
        <v>29</v>
      </c>
      <c r="AF38" s="106"/>
      <c r="AG38" s="106"/>
      <c r="AH38" s="116"/>
      <c r="AI38" s="115" t="s">
        <v>30</v>
      </c>
      <c r="AJ38" s="106"/>
      <c r="AK38" s="106"/>
      <c r="AL38" s="116"/>
      <c r="AM38" s="115" t="s">
        <v>31</v>
      </c>
      <c r="AN38" s="106"/>
      <c r="AO38" s="106"/>
      <c r="AP38" s="106"/>
      <c r="AQ38" s="116"/>
      <c r="AR38" s="122"/>
      <c r="AS38" s="122"/>
      <c r="AT38" s="125"/>
      <c r="AU38" s="126"/>
      <c r="AV38" s="7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 ht="17.25" x14ac:dyDescent="0.2">
      <c r="A39" s="2"/>
      <c r="B39" s="91">
        <v>1</v>
      </c>
      <c r="C39" s="92"/>
      <c r="D39" s="93" t="s">
        <v>34</v>
      </c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2"/>
      <c r="T39" s="95">
        <v>80.532672000000005</v>
      </c>
      <c r="U39" s="94"/>
      <c r="V39" s="94"/>
      <c r="W39" s="94"/>
      <c r="X39" s="94"/>
      <c r="Y39" s="92"/>
      <c r="Z39" s="96">
        <f t="shared" ref="Z39:Z41" si="2">SUM(T39*$I$11/1000000)</f>
        <v>0</v>
      </c>
      <c r="AA39" s="94"/>
      <c r="AB39" s="94"/>
      <c r="AC39" s="92"/>
      <c r="AD39" s="84" t="e">
        <f>T39*100/T54</f>
        <v>#DIV/0!</v>
      </c>
      <c r="AE39" s="97"/>
      <c r="AF39" s="94"/>
      <c r="AG39" s="94"/>
      <c r="AH39" s="92"/>
      <c r="AI39" s="98">
        <f t="shared" ref="AI39:AI41" si="3">SUM(AE39/1000000*T39)</f>
        <v>0</v>
      </c>
      <c r="AJ39" s="94"/>
      <c r="AK39" s="94"/>
      <c r="AL39" s="92"/>
      <c r="AM39" s="91"/>
      <c r="AN39" s="94"/>
      <c r="AO39" s="94"/>
      <c r="AP39" s="94"/>
      <c r="AQ39" s="92"/>
      <c r="AR39" s="13"/>
      <c r="AS39" s="85"/>
      <c r="AT39" s="111"/>
      <c r="AU39" s="112"/>
      <c r="AV39" s="2"/>
      <c r="AW39" s="2"/>
      <c r="AX39" s="2"/>
      <c r="AY39" s="3"/>
      <c r="AZ39" s="3"/>
      <c r="BA39" s="3"/>
      <c r="BB39" s="3"/>
      <c r="BC39" s="3"/>
      <c r="BD39" s="9"/>
      <c r="BE39" s="9"/>
      <c r="BF39" s="9"/>
      <c r="BG39" s="9"/>
      <c r="BH39" s="14"/>
      <c r="BI39" s="14"/>
      <c r="BJ39" s="14"/>
      <c r="BK39" s="14"/>
      <c r="BL39" s="14"/>
      <c r="BM39" s="9"/>
      <c r="BN39" s="9"/>
      <c r="BO39" s="9"/>
      <c r="BP39" s="9"/>
    </row>
    <row r="40" spans="1:68" ht="17.25" x14ac:dyDescent="0.4">
      <c r="A40" s="2"/>
      <c r="B40" s="91">
        <v>2</v>
      </c>
      <c r="C40" s="92"/>
      <c r="D40" s="93" t="s">
        <v>35</v>
      </c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2"/>
      <c r="T40" s="95">
        <v>2.0273279999999998</v>
      </c>
      <c r="U40" s="94"/>
      <c r="V40" s="94"/>
      <c r="W40" s="94"/>
      <c r="X40" s="94"/>
      <c r="Y40" s="92"/>
      <c r="Z40" s="96">
        <f t="shared" si="2"/>
        <v>0</v>
      </c>
      <c r="AA40" s="94"/>
      <c r="AB40" s="94"/>
      <c r="AC40" s="92"/>
      <c r="AD40" s="84" t="e">
        <f>T40*100/T54</f>
        <v>#DIV/0!</v>
      </c>
      <c r="AE40" s="97"/>
      <c r="AF40" s="94"/>
      <c r="AG40" s="94"/>
      <c r="AH40" s="92"/>
      <c r="AI40" s="98">
        <f t="shared" si="3"/>
        <v>0</v>
      </c>
      <c r="AJ40" s="94"/>
      <c r="AK40" s="94"/>
      <c r="AL40" s="92"/>
      <c r="AM40" s="91"/>
      <c r="AN40" s="94"/>
      <c r="AO40" s="94"/>
      <c r="AP40" s="94"/>
      <c r="AQ40" s="15"/>
      <c r="AR40" s="13"/>
      <c r="AS40" s="86"/>
      <c r="AT40" s="111"/>
      <c r="AU40" s="112"/>
      <c r="AV40" s="16"/>
      <c r="AW40" s="2"/>
      <c r="AX40" s="2"/>
      <c r="AY40" s="17"/>
      <c r="AZ40" s="17"/>
      <c r="BA40" s="17"/>
      <c r="BB40" s="17"/>
      <c r="BC40" s="17"/>
      <c r="BD40" s="2"/>
      <c r="BE40" s="2"/>
      <c r="BF40" s="4"/>
      <c r="BG40" s="4"/>
      <c r="BH40" s="2"/>
      <c r="BI40" s="2"/>
      <c r="BJ40" s="2"/>
      <c r="BK40" s="2"/>
      <c r="BL40" s="14"/>
      <c r="BM40" s="9"/>
      <c r="BN40" s="9"/>
      <c r="BO40" s="9"/>
      <c r="BP40" s="9"/>
    </row>
    <row r="41" spans="1:68" ht="17.25" x14ac:dyDescent="0.4">
      <c r="A41" s="2"/>
      <c r="B41" s="91">
        <v>3</v>
      </c>
      <c r="C41" s="92"/>
      <c r="D41" s="93" t="s">
        <v>36</v>
      </c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2"/>
      <c r="T41" s="95">
        <v>13.44</v>
      </c>
      <c r="U41" s="94"/>
      <c r="V41" s="94"/>
      <c r="W41" s="94"/>
      <c r="X41" s="94"/>
      <c r="Y41" s="92"/>
      <c r="Z41" s="96">
        <f t="shared" si="2"/>
        <v>0</v>
      </c>
      <c r="AA41" s="94"/>
      <c r="AB41" s="94"/>
      <c r="AC41" s="92"/>
      <c r="AD41" s="18" t="e">
        <f>T41*100/T54</f>
        <v>#DIV/0!</v>
      </c>
      <c r="AE41" s="97"/>
      <c r="AF41" s="94"/>
      <c r="AG41" s="94"/>
      <c r="AH41" s="92"/>
      <c r="AI41" s="98">
        <f t="shared" si="3"/>
        <v>0</v>
      </c>
      <c r="AJ41" s="94"/>
      <c r="AK41" s="94"/>
      <c r="AL41" s="92"/>
      <c r="AM41" s="91"/>
      <c r="AN41" s="94"/>
      <c r="AO41" s="94"/>
      <c r="AP41" s="94"/>
      <c r="AQ41" s="15"/>
      <c r="AR41" s="13"/>
      <c r="AS41" s="86"/>
      <c r="AT41" s="111"/>
      <c r="AU41" s="112"/>
      <c r="AV41" s="2"/>
      <c r="AW41" s="2"/>
      <c r="AX41" s="2"/>
      <c r="AY41" s="19"/>
      <c r="AZ41" s="20"/>
      <c r="BA41" s="20"/>
      <c r="BB41" s="20"/>
      <c r="BC41" s="20"/>
      <c r="BD41" s="3"/>
      <c r="BE41" s="3"/>
      <c r="BF41" s="3"/>
      <c r="BG41" s="3"/>
      <c r="BH41" s="2"/>
      <c r="BI41" s="2"/>
      <c r="BJ41" s="2"/>
      <c r="BK41" s="2"/>
      <c r="BL41" s="3"/>
      <c r="BM41" s="3"/>
      <c r="BN41" s="3"/>
      <c r="BO41" s="3"/>
      <c r="BP41" s="3"/>
    </row>
    <row r="42" spans="1:68" ht="17.25" x14ac:dyDescent="0.2">
      <c r="A42" s="2"/>
      <c r="B42" s="118" t="s">
        <v>37</v>
      </c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2"/>
      <c r="T42" s="98">
        <f>SUM(T23:Y41)</f>
        <v>96</v>
      </c>
      <c r="U42" s="94"/>
      <c r="V42" s="94"/>
      <c r="W42" s="94"/>
      <c r="X42" s="94"/>
      <c r="Y42" s="92"/>
      <c r="Z42" s="98">
        <f>SUM(Z23:AC41)</f>
        <v>0</v>
      </c>
      <c r="AA42" s="94"/>
      <c r="AB42" s="94"/>
      <c r="AC42" s="92"/>
      <c r="AD42" s="18" t="e">
        <f>SUM(AD23:AD41)</f>
        <v>#DIV/0!</v>
      </c>
      <c r="AE42" s="119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112"/>
      <c r="AV42" s="2"/>
      <c r="AW42" s="2"/>
      <c r="AX42" s="2"/>
      <c r="AY42" s="21"/>
      <c r="AZ42" s="21"/>
      <c r="BA42" s="24"/>
      <c r="BB42" s="24"/>
      <c r="BC42" s="24"/>
      <c r="BD42" s="24"/>
      <c r="BE42" s="113"/>
      <c r="BF42" s="114"/>
      <c r="BG42" s="114"/>
      <c r="BH42" s="114"/>
      <c r="BI42" s="114"/>
      <c r="BJ42" s="114"/>
      <c r="BK42" s="25"/>
      <c r="BL42" s="25"/>
      <c r="BM42" s="9"/>
      <c r="BN42" s="9"/>
      <c r="BO42" s="9"/>
      <c r="BP42" s="9"/>
    </row>
    <row r="43" spans="1:68" ht="21" x14ac:dyDescent="0.2">
      <c r="A43" s="2"/>
      <c r="B43" s="120" t="s">
        <v>38</v>
      </c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2"/>
      <c r="T43" s="98">
        <f>T42+T36</f>
        <v>96</v>
      </c>
      <c r="U43" s="94"/>
      <c r="V43" s="94"/>
      <c r="W43" s="94"/>
      <c r="X43" s="94"/>
      <c r="Y43" s="92"/>
      <c r="Z43" s="98">
        <f>SUM(Z24:AC42)</f>
        <v>0</v>
      </c>
      <c r="AA43" s="94"/>
      <c r="AB43" s="94"/>
      <c r="AC43" s="92"/>
      <c r="AD43" s="18" t="e">
        <f>SUM(AD24:AD42)</f>
        <v>#DIV/0!</v>
      </c>
      <c r="AE43" s="119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112"/>
      <c r="AV43" s="113"/>
      <c r="AW43" s="114"/>
      <c r="AX43" s="114"/>
      <c r="AY43" s="114"/>
      <c r="AZ43" s="3"/>
      <c r="BA43" s="3"/>
      <c r="BB43" s="3"/>
      <c r="BC43" s="3"/>
      <c r="BD43" s="9"/>
      <c r="BE43" s="9"/>
      <c r="BF43" s="9"/>
      <c r="BG43" s="9"/>
      <c r="BH43" s="14"/>
      <c r="BI43" s="14"/>
      <c r="BJ43" s="14"/>
      <c r="BK43" s="14"/>
      <c r="BL43" s="14"/>
      <c r="BM43" s="9"/>
      <c r="BN43" s="9"/>
      <c r="BO43" s="9"/>
      <c r="BP43" s="9"/>
    </row>
    <row r="44" spans="1:68" ht="17.25" x14ac:dyDescent="0.2">
      <c r="A44" s="24"/>
      <c r="B44" s="103" t="s">
        <v>39</v>
      </c>
      <c r="C44" s="104"/>
      <c r="D44" s="104"/>
      <c r="E44" s="104"/>
      <c r="F44" s="104"/>
      <c r="G44" s="104"/>
      <c r="H44" s="104"/>
      <c r="I44" s="104"/>
      <c r="J44" s="104"/>
      <c r="K44" s="177">
        <f>SUM(T17:Y35)</f>
        <v>0</v>
      </c>
      <c r="L44" s="140"/>
      <c r="M44" s="140"/>
      <c r="N44" s="140"/>
      <c r="O44" s="87"/>
      <c r="P44" s="87" t="s">
        <v>40</v>
      </c>
      <c r="Q44" s="87"/>
      <c r="R44" s="87"/>
      <c r="S44" s="87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88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</row>
    <row r="45" spans="1:68" ht="17.25" x14ac:dyDescent="0.2">
      <c r="A45" s="24"/>
      <c r="B45" s="103" t="s">
        <v>41</v>
      </c>
      <c r="C45" s="104"/>
      <c r="D45" s="104"/>
      <c r="E45" s="104"/>
      <c r="F45" s="104"/>
      <c r="G45" s="104"/>
      <c r="H45" s="104"/>
      <c r="I45" s="104"/>
      <c r="J45" s="104"/>
      <c r="K45" s="178">
        <f>SUM(Z17:AC35)</f>
        <v>0</v>
      </c>
      <c r="L45" s="179"/>
      <c r="M45" s="179"/>
      <c r="N45" s="179"/>
      <c r="O45" s="87"/>
      <c r="P45" s="87" t="s">
        <v>42</v>
      </c>
      <c r="Q45" s="87"/>
      <c r="R45" s="87"/>
      <c r="S45" s="87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88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</row>
    <row r="46" spans="1:68" ht="17.25" x14ac:dyDescent="0.2">
      <c r="A46" s="24"/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87"/>
      <c r="Q46" s="87"/>
      <c r="R46" s="87"/>
      <c r="S46" s="87"/>
      <c r="T46" s="105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7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8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</row>
    <row r="47" spans="1:68" ht="17.25" x14ac:dyDescent="0.2">
      <c r="A47" s="24"/>
      <c r="B47" s="93" t="s">
        <v>43</v>
      </c>
      <c r="C47" s="94"/>
      <c r="D47" s="94"/>
      <c r="E47" s="94"/>
      <c r="F47" s="94"/>
      <c r="G47" s="94"/>
      <c r="H47" s="94"/>
      <c r="I47" s="94"/>
      <c r="J47" s="94"/>
      <c r="K47" s="109">
        <f>SUM(AI17:AL35)</f>
        <v>0</v>
      </c>
      <c r="L47" s="101"/>
      <c r="M47" s="101"/>
      <c r="N47" s="101"/>
      <c r="O47" s="89"/>
      <c r="P47" s="89" t="s">
        <v>44</v>
      </c>
      <c r="Q47" s="89"/>
      <c r="R47" s="89"/>
      <c r="S47" s="89"/>
      <c r="T47" s="110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89"/>
      <c r="AF47" s="99" t="s">
        <v>45</v>
      </c>
      <c r="AG47" s="94"/>
      <c r="AH47" s="94"/>
      <c r="AI47" s="94"/>
      <c r="AJ47" s="94"/>
      <c r="AK47" s="94"/>
      <c r="AL47" s="94"/>
      <c r="AM47" s="94"/>
      <c r="AN47" s="94"/>
      <c r="AO47" s="100">
        <f>SUM(I11*K47)</f>
        <v>0</v>
      </c>
      <c r="AP47" s="101"/>
      <c r="AQ47" s="101"/>
      <c r="AR47" s="101"/>
      <c r="AS47" s="101"/>
      <c r="AT47" s="101"/>
      <c r="AU47" s="102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</row>
    <row r="48" spans="1:68" ht="17.25" x14ac:dyDescent="0.2">
      <c r="A48" s="24"/>
      <c r="B48" s="93" t="s">
        <v>46</v>
      </c>
      <c r="C48" s="94"/>
      <c r="D48" s="94"/>
      <c r="E48" s="94"/>
      <c r="F48" s="94"/>
      <c r="G48" s="94"/>
      <c r="H48" s="94"/>
      <c r="I48" s="94"/>
      <c r="J48" s="94"/>
      <c r="K48" s="181">
        <v>0</v>
      </c>
      <c r="L48" s="182"/>
      <c r="M48" s="182"/>
      <c r="N48" s="182"/>
      <c r="O48" s="90"/>
      <c r="P48" s="90" t="s">
        <v>44</v>
      </c>
      <c r="Q48" s="90"/>
      <c r="R48" s="90"/>
      <c r="S48" s="90"/>
      <c r="T48" s="110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0"/>
      <c r="AF48" s="99" t="s">
        <v>47</v>
      </c>
      <c r="AG48" s="94"/>
      <c r="AH48" s="94"/>
      <c r="AI48" s="94"/>
      <c r="AJ48" s="94"/>
      <c r="AK48" s="94"/>
      <c r="AL48" s="94"/>
      <c r="AM48" s="94"/>
      <c r="AN48" s="94"/>
      <c r="AO48" s="183">
        <f>SUM(I11*K48)</f>
        <v>0</v>
      </c>
      <c r="AP48" s="182"/>
      <c r="AQ48" s="182"/>
      <c r="AR48" s="182"/>
      <c r="AS48" s="182"/>
      <c r="AT48" s="182"/>
      <c r="AU48" s="184"/>
      <c r="AV48" s="5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</row>
    <row r="49" spans="1:68" ht="17.25" x14ac:dyDescent="0.2">
      <c r="A49" s="24"/>
      <c r="B49" s="93" t="s">
        <v>48</v>
      </c>
      <c r="C49" s="94"/>
      <c r="D49" s="94"/>
      <c r="E49" s="94"/>
      <c r="F49" s="94"/>
      <c r="G49" s="94"/>
      <c r="H49" s="94"/>
      <c r="I49" s="94"/>
      <c r="J49" s="94"/>
      <c r="K49" s="185">
        <f>SUM(K48-K47)</f>
        <v>0</v>
      </c>
      <c r="L49" s="182"/>
      <c r="M49" s="182"/>
      <c r="N49" s="182"/>
      <c r="O49" s="90"/>
      <c r="P49" s="90" t="s">
        <v>44</v>
      </c>
      <c r="Q49" s="90"/>
      <c r="R49" s="90"/>
      <c r="S49" s="90"/>
      <c r="T49" s="110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0"/>
      <c r="AF49" s="99" t="s">
        <v>49</v>
      </c>
      <c r="AG49" s="94"/>
      <c r="AH49" s="94"/>
      <c r="AI49" s="94"/>
      <c r="AJ49" s="94"/>
      <c r="AK49" s="94"/>
      <c r="AL49" s="94"/>
      <c r="AM49" s="94"/>
      <c r="AN49" s="94"/>
      <c r="AO49" s="183">
        <f>SUM(AO48-AO47)</f>
        <v>0</v>
      </c>
      <c r="AP49" s="182"/>
      <c r="AQ49" s="182"/>
      <c r="AR49" s="182"/>
      <c r="AS49" s="182"/>
      <c r="AT49" s="182"/>
      <c r="AU49" s="184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 ht="17.25" x14ac:dyDescent="0.4">
      <c r="A50" s="24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4"/>
      <c r="Q50" s="24"/>
      <c r="R50" s="24"/>
      <c r="S50" s="24"/>
      <c r="T50" s="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2"/>
      <c r="AW50" s="21"/>
      <c r="AX50" s="26"/>
      <c r="AY50" s="21"/>
      <c r="AZ50" s="21"/>
      <c r="BA50" s="21"/>
      <c r="BB50" s="27"/>
      <c r="BC50" s="27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1:68" ht="19.5" x14ac:dyDescent="0.4">
      <c r="A51" s="24"/>
      <c r="B51" s="180" t="s">
        <v>50</v>
      </c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92"/>
      <c r="O51" s="28"/>
      <c r="P51" s="29"/>
      <c r="Q51" s="29"/>
      <c r="R51" s="29"/>
      <c r="S51" s="156" t="s">
        <v>51</v>
      </c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9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</row>
    <row r="52" spans="1:68" ht="17.25" x14ac:dyDescent="0.4">
      <c r="A52" s="24"/>
      <c r="B52" s="157"/>
      <c r="C52" s="158"/>
      <c r="D52" s="158"/>
      <c r="E52" s="158"/>
      <c r="F52" s="158"/>
      <c r="G52" s="159"/>
      <c r="H52" s="31" t="s">
        <v>52</v>
      </c>
      <c r="I52" s="160"/>
      <c r="J52" s="158"/>
      <c r="K52" s="158"/>
      <c r="L52" s="158"/>
      <c r="M52" s="158"/>
      <c r="N52" s="161"/>
      <c r="O52" s="32"/>
      <c r="P52" s="33"/>
      <c r="Q52" s="33"/>
      <c r="R52" s="33"/>
      <c r="S52" s="135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28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1:68" ht="17.25" x14ac:dyDescent="0.4">
      <c r="A53" s="24"/>
      <c r="B53" s="162"/>
      <c r="C53" s="163"/>
      <c r="D53" s="163"/>
      <c r="E53" s="163"/>
      <c r="F53" s="163"/>
      <c r="G53" s="164"/>
      <c r="H53" s="34" t="s">
        <v>52</v>
      </c>
      <c r="I53" s="165"/>
      <c r="J53" s="163"/>
      <c r="K53" s="163"/>
      <c r="L53" s="163"/>
      <c r="M53" s="163"/>
      <c r="N53" s="166"/>
      <c r="O53" s="32"/>
      <c r="P53" s="35"/>
      <c r="Q53" s="35"/>
      <c r="R53" s="35"/>
      <c r="S53" s="136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8"/>
      <c r="AE53" s="24"/>
      <c r="AF53" s="24"/>
      <c r="AG53" s="24"/>
      <c r="AH53" s="24" t="s">
        <v>53</v>
      </c>
      <c r="AI53" s="24"/>
      <c r="AJ53" s="139" t="s">
        <v>54</v>
      </c>
      <c r="AK53" s="140"/>
      <c r="AL53" s="140"/>
      <c r="AM53" s="140"/>
      <c r="AN53" s="140"/>
      <c r="AO53" s="140"/>
      <c r="AP53" s="140"/>
      <c r="AQ53" s="140"/>
      <c r="AR53" s="21" t="s">
        <v>55</v>
      </c>
      <c r="AS53" s="21"/>
      <c r="AT53" s="5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</row>
    <row r="54" spans="1:68" ht="17.25" x14ac:dyDescent="0.4">
      <c r="A54" s="24"/>
      <c r="B54" s="162"/>
      <c r="C54" s="163"/>
      <c r="D54" s="163"/>
      <c r="E54" s="163"/>
      <c r="F54" s="163"/>
      <c r="G54" s="164"/>
      <c r="H54" s="34" t="s">
        <v>52</v>
      </c>
      <c r="I54" s="165"/>
      <c r="J54" s="163"/>
      <c r="K54" s="163"/>
      <c r="L54" s="163"/>
      <c r="M54" s="163"/>
      <c r="N54" s="166"/>
      <c r="O54" s="32"/>
      <c r="P54" s="35"/>
      <c r="Q54" s="35"/>
      <c r="R54" s="35"/>
      <c r="S54" s="147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4"/>
      <c r="AE54" s="24"/>
      <c r="AF54" s="24"/>
      <c r="AG54" s="24"/>
      <c r="AH54" s="24"/>
      <c r="AI54" s="24"/>
      <c r="AJ54" s="141">
        <f>AG7</f>
        <v>0</v>
      </c>
      <c r="AK54" s="142"/>
      <c r="AL54" s="142"/>
      <c r="AM54" s="142"/>
      <c r="AN54" s="142"/>
      <c r="AO54" s="142"/>
      <c r="AP54" s="142"/>
      <c r="AQ54" s="142"/>
      <c r="AR54" s="26"/>
      <c r="AS54" s="26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</row>
    <row r="55" spans="1:68" ht="17.25" x14ac:dyDescent="0.4">
      <c r="A55" s="24"/>
      <c r="B55" s="162"/>
      <c r="C55" s="163"/>
      <c r="D55" s="163"/>
      <c r="E55" s="163"/>
      <c r="F55" s="163"/>
      <c r="G55" s="164"/>
      <c r="H55" s="34" t="s">
        <v>52</v>
      </c>
      <c r="I55" s="165"/>
      <c r="J55" s="163"/>
      <c r="K55" s="163"/>
      <c r="L55" s="163"/>
      <c r="M55" s="163"/>
      <c r="N55" s="166"/>
      <c r="O55" s="32"/>
      <c r="P55" s="35"/>
      <c r="Q55" s="35"/>
      <c r="R55" s="35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24"/>
      <c r="AF55" s="24"/>
      <c r="AG55" s="24"/>
      <c r="AH55" s="24"/>
      <c r="AI55" s="24"/>
      <c r="AJ55" s="36"/>
      <c r="AK55" s="8"/>
      <c r="AL55" s="8"/>
      <c r="AM55" s="8"/>
      <c r="AN55" s="8"/>
      <c r="AO55" s="8"/>
      <c r="AP55" s="8"/>
      <c r="AQ55" s="8"/>
      <c r="AR55" s="36"/>
      <c r="AS55" s="36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</row>
    <row r="56" spans="1:68" ht="18.75" x14ac:dyDescent="0.2">
      <c r="A56" s="24"/>
      <c r="B56" s="162"/>
      <c r="C56" s="163"/>
      <c r="D56" s="163"/>
      <c r="E56" s="163"/>
      <c r="F56" s="163"/>
      <c r="G56" s="164"/>
      <c r="H56" s="34" t="s">
        <v>52</v>
      </c>
      <c r="I56" s="165"/>
      <c r="J56" s="163"/>
      <c r="K56" s="163"/>
      <c r="L56" s="163"/>
      <c r="M56" s="163"/>
      <c r="N56" s="166"/>
      <c r="O56" s="32"/>
      <c r="P56" s="33"/>
      <c r="Q56" s="33"/>
      <c r="R56" s="33"/>
      <c r="S56" s="148" t="s">
        <v>56</v>
      </c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92"/>
      <c r="AE56" s="24"/>
      <c r="AF56" s="24"/>
      <c r="AG56" s="24"/>
      <c r="AH56" s="24"/>
      <c r="AI56" s="143" t="s">
        <v>57</v>
      </c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92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</row>
    <row r="57" spans="1:68" ht="19.5" x14ac:dyDescent="0.2">
      <c r="A57" s="24"/>
      <c r="B57" s="175"/>
      <c r="C57" s="173"/>
      <c r="D57" s="173"/>
      <c r="E57" s="173"/>
      <c r="F57" s="173"/>
      <c r="G57" s="176"/>
      <c r="H57" s="37" t="s">
        <v>52</v>
      </c>
      <c r="I57" s="172"/>
      <c r="J57" s="173"/>
      <c r="K57" s="173"/>
      <c r="L57" s="173"/>
      <c r="M57" s="173"/>
      <c r="N57" s="174"/>
      <c r="O57" s="32"/>
      <c r="P57" s="33"/>
      <c r="Q57" s="33"/>
      <c r="R57" s="33"/>
      <c r="S57" s="149" t="s">
        <v>58</v>
      </c>
      <c r="T57" s="144"/>
      <c r="U57" s="144"/>
      <c r="V57" s="144"/>
      <c r="W57" s="144"/>
      <c r="X57" s="144"/>
      <c r="Y57" s="144"/>
      <c r="Z57" s="94"/>
      <c r="AA57" s="150"/>
      <c r="AB57" s="133"/>
      <c r="AC57" s="106"/>
      <c r="AD57" s="38" t="s">
        <v>59</v>
      </c>
      <c r="AE57" s="24"/>
      <c r="AF57" s="24"/>
      <c r="AG57" s="24"/>
      <c r="AH57" s="24"/>
      <c r="AI57" s="145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92"/>
      <c r="AV57" s="24"/>
      <c r="AW57" s="24"/>
      <c r="AX57" s="24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 ht="17.25" x14ac:dyDescent="0.4">
      <c r="A58" s="5"/>
      <c r="B58" s="2"/>
      <c r="C58" s="2"/>
      <c r="D58" s="2"/>
      <c r="E58" s="2"/>
      <c r="F58" s="2"/>
      <c r="G58" s="2"/>
      <c r="H58" s="2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ht="19.5" x14ac:dyDescent="0.2">
      <c r="A59" s="24"/>
      <c r="B59" s="167" t="s">
        <v>60</v>
      </c>
      <c r="C59" s="144"/>
      <c r="D59" s="144"/>
      <c r="E59" s="144"/>
      <c r="F59" s="144"/>
      <c r="G59" s="144"/>
      <c r="H59" s="144"/>
      <c r="I59" s="144"/>
      <c r="J59" s="92"/>
      <c r="K59" s="39"/>
      <c r="L59" s="39"/>
      <c r="M59" s="39"/>
      <c r="N59" s="10"/>
      <c r="O59" s="10"/>
      <c r="P59" s="10"/>
      <c r="Q59" s="10"/>
      <c r="R59" s="10"/>
      <c r="S59" s="151" t="s">
        <v>61</v>
      </c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92"/>
      <c r="AE59" s="24"/>
      <c r="AF59" s="24"/>
      <c r="AG59" s="24"/>
      <c r="AH59" s="24"/>
      <c r="AI59" s="146" t="s">
        <v>62</v>
      </c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92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</row>
    <row r="60" spans="1:68" ht="19.5" x14ac:dyDescent="0.2">
      <c r="A60" s="24"/>
      <c r="B60" s="167" t="s">
        <v>63</v>
      </c>
      <c r="C60" s="144"/>
      <c r="D60" s="144"/>
      <c r="E60" s="144"/>
      <c r="F60" s="92"/>
      <c r="G60" s="167" t="s">
        <v>64</v>
      </c>
      <c r="H60" s="144"/>
      <c r="I60" s="144"/>
      <c r="J60" s="92"/>
      <c r="K60" s="39"/>
      <c r="L60" s="39"/>
      <c r="M60" s="39"/>
      <c r="N60" s="10"/>
      <c r="O60" s="10"/>
      <c r="P60" s="10"/>
      <c r="Q60" s="10"/>
      <c r="R60" s="10"/>
      <c r="S60" s="152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28"/>
      <c r="AE60" s="24"/>
      <c r="AF60" s="24"/>
      <c r="AG60" s="24"/>
      <c r="AH60" s="24"/>
      <c r="AI60" s="130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28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</row>
    <row r="61" spans="1:68" ht="19.5" x14ac:dyDescent="0.2">
      <c r="A61" s="24"/>
      <c r="B61" s="40"/>
      <c r="C61" s="168" t="s">
        <v>65</v>
      </c>
      <c r="D61" s="169"/>
      <c r="E61" s="169"/>
      <c r="F61" s="170"/>
      <c r="G61" s="171" t="s">
        <v>66</v>
      </c>
      <c r="H61" s="169"/>
      <c r="I61" s="169"/>
      <c r="J61" s="170"/>
      <c r="K61" s="39"/>
      <c r="L61" s="39"/>
      <c r="M61" s="39"/>
      <c r="N61" s="10"/>
      <c r="O61" s="10"/>
      <c r="P61" s="10"/>
      <c r="Q61" s="10"/>
      <c r="R61" s="10"/>
      <c r="S61" s="15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4"/>
      <c r="AE61" s="24"/>
      <c r="AF61" s="24"/>
      <c r="AG61" s="24"/>
      <c r="AH61" s="24"/>
      <c r="AI61" s="132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</row>
    <row r="62" spans="1:68" ht="19.5" x14ac:dyDescent="0.2">
      <c r="A62" s="24"/>
      <c r="B62" s="41"/>
      <c r="C62" s="155" t="s">
        <v>67</v>
      </c>
      <c r="D62" s="144"/>
      <c r="E62" s="144"/>
      <c r="F62" s="92"/>
      <c r="G62" s="154" t="s">
        <v>68</v>
      </c>
      <c r="H62" s="144"/>
      <c r="I62" s="144"/>
      <c r="J62" s="92"/>
      <c r="K62" s="27"/>
      <c r="L62" s="27"/>
      <c r="M62" s="27"/>
      <c r="N62" s="27"/>
      <c r="O62" s="27"/>
      <c r="P62" s="27"/>
      <c r="Q62" s="27"/>
      <c r="R62" s="27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10"/>
      <c r="AU62" s="10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</row>
    <row r="63" spans="1:68" ht="19.5" x14ac:dyDescent="0.2">
      <c r="A63" s="24"/>
      <c r="B63" s="41"/>
      <c r="C63" s="155" t="s">
        <v>69</v>
      </c>
      <c r="D63" s="144"/>
      <c r="E63" s="144"/>
      <c r="F63" s="92"/>
      <c r="G63" s="154" t="s">
        <v>70</v>
      </c>
      <c r="H63" s="144"/>
      <c r="I63" s="144"/>
      <c r="J63" s="92"/>
      <c r="K63" s="27"/>
      <c r="L63" s="27"/>
      <c r="M63" s="27"/>
      <c r="N63" s="27"/>
      <c r="O63" s="27"/>
      <c r="P63" s="27"/>
      <c r="Q63" s="27"/>
      <c r="R63" s="27"/>
      <c r="S63" s="42" t="s">
        <v>71</v>
      </c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39"/>
      <c r="AG63" s="39"/>
      <c r="AH63" s="39"/>
      <c r="AI63" s="39"/>
      <c r="AJ63" s="39"/>
      <c r="AK63" s="39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</row>
    <row r="64" spans="1:68" ht="19.5" x14ac:dyDescent="0.2">
      <c r="A64" s="24"/>
      <c r="B64" s="41"/>
      <c r="C64" s="155" t="s">
        <v>72</v>
      </c>
      <c r="D64" s="144"/>
      <c r="E64" s="144"/>
      <c r="F64" s="92"/>
      <c r="G64" s="154" t="s">
        <v>73</v>
      </c>
      <c r="H64" s="144"/>
      <c r="I64" s="144"/>
      <c r="J64" s="92"/>
      <c r="K64" s="27"/>
      <c r="L64" s="27"/>
      <c r="M64" s="27"/>
      <c r="N64" s="27"/>
      <c r="O64" s="27"/>
      <c r="P64" s="27"/>
      <c r="Q64" s="27"/>
      <c r="R64" s="27"/>
      <c r="S64" s="43" t="s">
        <v>74</v>
      </c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39"/>
      <c r="AG64" s="39"/>
      <c r="AH64" s="39"/>
      <c r="AI64" s="39"/>
      <c r="AJ64" s="39"/>
      <c r="AK64" s="39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</row>
    <row r="65" spans="1:68" ht="19.5" x14ac:dyDescent="0.2">
      <c r="A65" s="24"/>
      <c r="B65" s="41"/>
      <c r="C65" s="155" t="s">
        <v>75</v>
      </c>
      <c r="D65" s="144"/>
      <c r="E65" s="144"/>
      <c r="F65" s="92"/>
      <c r="G65" s="154" t="s">
        <v>76</v>
      </c>
      <c r="H65" s="144"/>
      <c r="I65" s="144"/>
      <c r="J65" s="92"/>
      <c r="K65" s="27"/>
      <c r="L65" s="27"/>
      <c r="M65" s="27"/>
      <c r="N65" s="27"/>
      <c r="O65" s="27"/>
      <c r="P65" s="27"/>
      <c r="Q65" s="27"/>
      <c r="R65" s="27"/>
      <c r="S65" s="44" t="s">
        <v>77</v>
      </c>
      <c r="AE65" s="27"/>
      <c r="AF65" s="39"/>
      <c r="AG65" s="39"/>
      <c r="AH65" s="39"/>
      <c r="AI65" s="39"/>
      <c r="AJ65" s="39"/>
      <c r="AK65" s="39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</row>
    <row r="66" spans="1:68" ht="19.5" x14ac:dyDescent="0.4">
      <c r="A66" s="24"/>
      <c r="B66" s="41"/>
      <c r="C66" s="155" t="s">
        <v>78</v>
      </c>
      <c r="D66" s="144"/>
      <c r="E66" s="144"/>
      <c r="F66" s="92"/>
      <c r="G66" s="154" t="s">
        <v>79</v>
      </c>
      <c r="H66" s="144"/>
      <c r="I66" s="144"/>
      <c r="J66" s="92"/>
      <c r="K66" s="27"/>
      <c r="L66" s="27"/>
      <c r="M66" s="27"/>
      <c r="N66" s="27"/>
      <c r="O66" s="27"/>
      <c r="P66" s="27"/>
      <c r="Q66" s="27"/>
      <c r="R66" s="27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27"/>
      <c r="AF66" s="39"/>
      <c r="AG66" s="39"/>
      <c r="AH66" s="39"/>
      <c r="AI66" s="39"/>
      <c r="AJ66" s="39"/>
      <c r="AK66" s="39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</row>
    <row r="67" spans="1:68" ht="19.5" x14ac:dyDescent="0.4">
      <c r="A67" s="24"/>
      <c r="B67" s="41"/>
      <c r="C67" s="155" t="s">
        <v>80</v>
      </c>
      <c r="D67" s="144"/>
      <c r="E67" s="144"/>
      <c r="F67" s="92"/>
      <c r="G67" s="154" t="s">
        <v>81</v>
      </c>
      <c r="H67" s="144"/>
      <c r="I67" s="144"/>
      <c r="J67" s="92"/>
      <c r="K67" s="27"/>
      <c r="L67" s="27"/>
      <c r="M67" s="27"/>
      <c r="N67" s="27"/>
      <c r="O67" s="27"/>
      <c r="P67" s="27"/>
      <c r="Q67" s="27"/>
      <c r="R67" s="27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10"/>
      <c r="AU67" s="10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</row>
    <row r="68" spans="1:68" ht="19.5" x14ac:dyDescent="0.2">
      <c r="A68" s="24"/>
      <c r="B68" s="41"/>
      <c r="C68" s="155" t="s">
        <v>82</v>
      </c>
      <c r="D68" s="144"/>
      <c r="E68" s="144"/>
      <c r="F68" s="92"/>
      <c r="G68" s="154" t="s">
        <v>83</v>
      </c>
      <c r="H68" s="144"/>
      <c r="I68" s="144"/>
      <c r="J68" s="92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10"/>
      <c r="AU68" s="10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</row>
    <row r="69" spans="1:68" ht="17.25" x14ac:dyDescent="0.2">
      <c r="A69" s="24"/>
      <c r="B69" s="2"/>
      <c r="C69" s="2"/>
      <c r="D69" s="2"/>
      <c r="E69" s="2"/>
      <c r="F69" s="2"/>
      <c r="G69" s="2"/>
      <c r="H69" s="2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39"/>
      <c r="AG69" s="39"/>
      <c r="AH69" s="39"/>
      <c r="AI69" s="39"/>
      <c r="AJ69" s="39"/>
      <c r="AK69" s="39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</row>
    <row r="70" spans="1:68" ht="17.25" x14ac:dyDescent="0.2">
      <c r="A70" s="24"/>
      <c r="B70" s="2"/>
      <c r="C70" s="2"/>
      <c r="D70" s="2"/>
      <c r="E70" s="2"/>
      <c r="F70" s="2"/>
      <c r="G70" s="2"/>
      <c r="H70" s="2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39"/>
      <c r="AG70" s="39"/>
      <c r="AH70" s="39"/>
      <c r="AI70" s="39"/>
      <c r="AJ70" s="39"/>
      <c r="AK70" s="39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</row>
    <row r="71" spans="1:68" ht="17.25" x14ac:dyDescent="0.2">
      <c r="A71" s="24"/>
      <c r="B71" s="2"/>
      <c r="C71" s="2"/>
      <c r="D71" s="2"/>
      <c r="E71" s="2"/>
      <c r="F71" s="2"/>
      <c r="G71" s="2"/>
      <c r="H71" s="2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39"/>
      <c r="AG71" s="39"/>
      <c r="AH71" s="39"/>
      <c r="AI71" s="39"/>
      <c r="AJ71" s="39"/>
      <c r="AK71" s="39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</row>
    <row r="72" spans="1:68" ht="17.25" x14ac:dyDescent="0.2">
      <c r="A72" s="24"/>
      <c r="B72" s="2"/>
      <c r="C72" s="2"/>
      <c r="D72" s="2"/>
      <c r="E72" s="2"/>
      <c r="F72" s="2"/>
      <c r="G72" s="2"/>
      <c r="H72" s="2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39"/>
      <c r="AG72" s="39"/>
      <c r="AH72" s="39"/>
      <c r="AI72" s="39"/>
      <c r="AJ72" s="39"/>
      <c r="AK72" s="39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</row>
    <row r="73" spans="1:68" ht="17.25" x14ac:dyDescent="0.2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"/>
      <c r="AM73" s="2"/>
      <c r="AN73" s="2"/>
      <c r="AO73" s="2"/>
      <c r="AP73" s="2"/>
      <c r="AQ73" s="2"/>
      <c r="AR73" s="2"/>
      <c r="AS73" s="2"/>
      <c r="AT73" s="10"/>
      <c r="AU73" s="2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</row>
    <row r="74" spans="1:68" ht="17.25" x14ac:dyDescent="0.2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"/>
      <c r="AM74" s="2"/>
      <c r="AN74" s="2"/>
      <c r="AO74" s="2"/>
      <c r="AP74" s="2"/>
      <c r="AQ74" s="2"/>
      <c r="AR74" s="2"/>
      <c r="AS74" s="2"/>
      <c r="AT74" s="10"/>
      <c r="AU74" s="10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</row>
    <row r="75" spans="1:68" ht="17.25" x14ac:dyDescent="0.35">
      <c r="A75" s="24"/>
      <c r="B75" s="2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3"/>
      <c r="AM75" s="45"/>
      <c r="AN75" s="45"/>
      <c r="AO75" s="45"/>
      <c r="AP75" s="45"/>
      <c r="AQ75" s="45"/>
      <c r="AR75" s="45"/>
      <c r="AS75" s="45"/>
      <c r="AT75" s="10"/>
      <c r="AU75" s="10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</row>
    <row r="76" spans="1:68" ht="17.25" x14ac:dyDescent="0.2">
      <c r="A76" s="2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3"/>
      <c r="AM76" s="3"/>
      <c r="AN76" s="3"/>
      <c r="AO76" s="3"/>
      <c r="AP76" s="3"/>
      <c r="AQ76" s="3"/>
      <c r="AR76" s="3"/>
      <c r="AS76" s="3"/>
      <c r="AT76" s="10"/>
      <c r="AU76" s="10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</row>
    <row r="77" spans="1:68" ht="17.25" x14ac:dyDescent="0.2">
      <c r="A77" s="2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</row>
    <row r="78" spans="1:68" ht="17.25" x14ac:dyDescent="0.2">
      <c r="A78" s="24"/>
      <c r="B78" s="24"/>
      <c r="C78" s="24"/>
      <c r="D78" s="46"/>
      <c r="E78" s="24"/>
      <c r="F78" s="24"/>
      <c r="G78" s="24"/>
      <c r="H78" s="47"/>
      <c r="I78" s="47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</row>
    <row r="79" spans="1:68" ht="17.25" x14ac:dyDescent="0.2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</row>
    <row r="80" spans="1:68" ht="17.25" x14ac:dyDescent="0.2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</row>
    <row r="81" spans="1:68" ht="17.25" x14ac:dyDescent="0.2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</row>
    <row r="82" spans="1:68" ht="17.25" x14ac:dyDescent="0.2">
      <c r="A82" s="24"/>
      <c r="B82" s="24"/>
      <c r="C82" s="24"/>
      <c r="D82" s="46"/>
      <c r="E82" s="24"/>
      <c r="F82" s="24"/>
      <c r="G82" s="24"/>
      <c r="H82" s="47"/>
      <c r="I82" s="47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</row>
    <row r="83" spans="1:68" ht="17.25" x14ac:dyDescent="0.2">
      <c r="A83" s="24"/>
      <c r="B83" s="24"/>
      <c r="C83" s="24"/>
      <c r="D83" s="46"/>
      <c r="E83" s="24"/>
      <c r="F83" s="24"/>
      <c r="G83" s="24"/>
      <c r="H83" s="47"/>
      <c r="I83" s="47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</row>
    <row r="84" spans="1:68" ht="17.25" x14ac:dyDescent="0.2">
      <c r="A84" s="24"/>
      <c r="B84" s="24"/>
      <c r="C84" s="24"/>
      <c r="D84" s="46"/>
      <c r="E84" s="24"/>
      <c r="F84" s="24"/>
      <c r="G84" s="24"/>
      <c r="H84" s="47"/>
      <c r="I84" s="47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</row>
    <row r="85" spans="1:68" ht="17.25" x14ac:dyDescent="0.2">
      <c r="A85" s="2"/>
      <c r="B85" s="2"/>
      <c r="C85" s="21"/>
      <c r="D85" s="26"/>
      <c r="E85" s="21"/>
      <c r="F85" s="21"/>
      <c r="G85" s="21"/>
      <c r="H85" s="27"/>
      <c r="I85" s="27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1:68" ht="17.25" x14ac:dyDescent="0.2">
      <c r="A86" s="2"/>
      <c r="B86" s="2"/>
      <c r="C86" s="21"/>
      <c r="D86" s="26"/>
      <c r="E86" s="21"/>
      <c r="F86" s="21"/>
      <c r="G86" s="21"/>
      <c r="H86" s="27"/>
      <c r="I86" s="27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1:68" ht="17.2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 t="s">
        <v>84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1:68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spans="1:68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</row>
    <row r="90" spans="1:68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spans="1:68" ht="15" customHeight="1" x14ac:dyDescent="0.2">
      <c r="A91" s="2"/>
      <c r="B91" s="2"/>
      <c r="C91" s="21"/>
      <c r="D91" s="26"/>
      <c r="E91" s="21"/>
      <c r="F91" s="21"/>
      <c r="G91" s="21"/>
      <c r="H91" s="27"/>
      <c r="I91" s="27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spans="1:68" ht="15" customHeight="1" x14ac:dyDescent="0.2">
      <c r="A92" s="2"/>
      <c r="B92" s="2"/>
      <c r="C92" s="21"/>
      <c r="D92" s="26"/>
      <c r="E92" s="21"/>
      <c r="F92" s="21"/>
      <c r="G92" s="21"/>
      <c r="H92" s="27"/>
      <c r="I92" s="27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spans="1:68" ht="15" customHeight="1" x14ac:dyDescent="0.2">
      <c r="A93" s="2"/>
      <c r="B93" s="2"/>
      <c r="C93" s="21"/>
      <c r="D93" s="26"/>
      <c r="E93" s="21"/>
      <c r="F93" s="21"/>
      <c r="G93" s="21"/>
      <c r="H93" s="27"/>
      <c r="I93" s="27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spans="1:68" ht="15" customHeight="1" x14ac:dyDescent="0.2">
      <c r="A94" s="2"/>
      <c r="B94" s="2"/>
      <c r="C94" s="21"/>
      <c r="D94" s="26"/>
      <c r="E94" s="21"/>
      <c r="F94" s="21"/>
      <c r="G94" s="21"/>
      <c r="H94" s="27"/>
      <c r="I94" s="27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spans="1:68" ht="15" customHeight="1" x14ac:dyDescent="0.2">
      <c r="A95" s="2"/>
      <c r="B95" s="2"/>
      <c r="C95" s="21"/>
      <c r="D95" s="26"/>
      <c r="E95" s="21"/>
      <c r="F95" s="21"/>
      <c r="G95" s="21"/>
      <c r="H95" s="27"/>
      <c r="I95" s="27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spans="1:68" ht="15" customHeight="1" x14ac:dyDescent="0.2">
      <c r="A96" s="2"/>
      <c r="B96" s="2"/>
      <c r="C96" s="21"/>
      <c r="D96" s="26"/>
      <c r="E96" s="21"/>
      <c r="F96" s="21"/>
      <c r="G96" s="21"/>
      <c r="H96" s="27"/>
      <c r="I96" s="27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spans="1:68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spans="1:68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spans="1:68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spans="1:68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spans="1:68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spans="1:68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spans="1:68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spans="1:68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spans="1:68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spans="1:68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spans="1:68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spans="1:68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spans="1:68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spans="1:68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spans="1:68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spans="1:68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spans="1:68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spans="1:68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spans="1:68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spans="1:68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spans="1:68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spans="1:68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spans="1:68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spans="1:68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spans="1:68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spans="1:68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spans="1:68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spans="1:68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spans="1:68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spans="1:68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spans="1:68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spans="1:68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spans="1:68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spans="1:68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1:68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1:68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1:68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1:68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1:68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1:68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1:68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1:68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1:68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1:68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1:68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1:68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1:68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1:68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1:68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1:68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1:68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1:68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1:68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1:68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1:68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1:68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1:68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1:68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1:68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1:68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1:68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spans="1:68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spans="1:68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spans="1:68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spans="1:68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spans="1:68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</row>
    <row r="163" spans="1:68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</row>
    <row r="164" spans="1:68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</row>
    <row r="165" spans="1:68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spans="1:68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spans="1:68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spans="1:68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spans="1:68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spans="1:68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spans="1:68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spans="1:68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spans="1:68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spans="1:68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spans="1:68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  <row r="176" spans="1:68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</row>
    <row r="177" spans="1:68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</row>
    <row r="178" spans="1:68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</row>
    <row r="179" spans="1:68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</row>
    <row r="180" spans="1:68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</row>
    <row r="181" spans="1:68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</row>
    <row r="182" spans="1:68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</row>
    <row r="183" spans="1:68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</row>
    <row r="184" spans="1:68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</row>
    <row r="185" spans="1:68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</row>
    <row r="186" spans="1:68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</row>
    <row r="187" spans="1:68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</row>
    <row r="188" spans="1:68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</row>
    <row r="189" spans="1:68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</row>
    <row r="190" spans="1:68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</row>
    <row r="191" spans="1:68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</row>
    <row r="192" spans="1:68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</row>
    <row r="193" spans="1:68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</row>
    <row r="194" spans="1:68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</row>
    <row r="195" spans="1:68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</row>
    <row r="196" spans="1:68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</row>
    <row r="197" spans="1:68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</row>
    <row r="198" spans="1:68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</row>
    <row r="199" spans="1:68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</row>
    <row r="200" spans="1:68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</row>
    <row r="201" spans="1:68" ht="1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</row>
    <row r="202" spans="1:68" ht="1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</row>
    <row r="203" spans="1:68" ht="21.75" customHeight="1" x14ac:dyDescent="0.2">
      <c r="A203" s="2"/>
      <c r="B203" s="2"/>
      <c r="C203" s="21"/>
      <c r="D203" s="26"/>
      <c r="E203" s="21"/>
      <c r="F203" s="21"/>
      <c r="G203" s="21"/>
      <c r="H203" s="27"/>
      <c r="I203" s="27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</row>
    <row r="204" spans="1:68" ht="21.75" customHeight="1" x14ac:dyDescent="0.2">
      <c r="A204" s="2"/>
      <c r="B204" s="2"/>
      <c r="C204" s="21"/>
      <c r="D204" s="26"/>
      <c r="E204" s="21"/>
      <c r="F204" s="21"/>
      <c r="G204" s="21"/>
      <c r="H204" s="27"/>
      <c r="I204" s="27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</row>
    <row r="205" spans="1:68" ht="21.75" customHeight="1" x14ac:dyDescent="0.2">
      <c r="A205" s="2"/>
      <c r="B205" s="2"/>
      <c r="C205" s="21"/>
      <c r="D205" s="26"/>
      <c r="E205" s="21"/>
      <c r="F205" s="21"/>
      <c r="G205" s="21"/>
      <c r="H205" s="27"/>
      <c r="I205" s="27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</row>
    <row r="206" spans="1:68" ht="21.75" customHeight="1" x14ac:dyDescent="0.2">
      <c r="A206" s="2"/>
      <c r="B206" s="2"/>
      <c r="C206" s="21"/>
      <c r="D206" s="26"/>
      <c r="E206" s="21"/>
      <c r="F206" s="21"/>
      <c r="G206" s="21"/>
      <c r="H206" s="27"/>
      <c r="I206" s="27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</row>
    <row r="207" spans="1:68" ht="21.75" customHeight="1" x14ac:dyDescent="0.2">
      <c r="A207" s="2"/>
      <c r="B207" s="2"/>
      <c r="C207" s="21"/>
      <c r="D207" s="26"/>
      <c r="E207" s="21"/>
      <c r="F207" s="21"/>
      <c r="G207" s="21"/>
      <c r="H207" s="27"/>
      <c r="I207" s="27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</row>
    <row r="208" spans="1:68" ht="21.75" customHeight="1" x14ac:dyDescent="0.2">
      <c r="A208" s="2"/>
      <c r="B208" s="2"/>
      <c r="C208" s="21"/>
      <c r="D208" s="26"/>
      <c r="E208" s="21"/>
      <c r="F208" s="21"/>
      <c r="G208" s="21"/>
      <c r="H208" s="27"/>
      <c r="I208" s="27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</row>
    <row r="209" spans="1:68" ht="21.75" customHeight="1" x14ac:dyDescent="0.2">
      <c r="A209" s="2"/>
      <c r="B209" s="2"/>
      <c r="C209" s="21"/>
      <c r="D209" s="26"/>
      <c r="E209" s="21"/>
      <c r="F209" s="21"/>
      <c r="G209" s="21"/>
      <c r="H209" s="27"/>
      <c r="I209" s="27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</row>
    <row r="210" spans="1:68" ht="21.75" customHeight="1" x14ac:dyDescent="0.2">
      <c r="A210" s="2"/>
      <c r="B210" s="2"/>
      <c r="C210" s="21"/>
      <c r="D210" s="26"/>
      <c r="E210" s="21"/>
      <c r="F210" s="21"/>
      <c r="G210" s="21"/>
      <c r="H210" s="27"/>
      <c r="I210" s="27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</row>
    <row r="211" spans="1:68" ht="21.75" customHeight="1" x14ac:dyDescent="0.2">
      <c r="A211" s="2"/>
      <c r="B211" s="2"/>
      <c r="C211" s="21"/>
      <c r="D211" s="26"/>
      <c r="E211" s="21"/>
      <c r="F211" s="21"/>
      <c r="G211" s="21"/>
      <c r="H211" s="27"/>
      <c r="I211" s="27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</row>
    <row r="212" spans="1:68" ht="21.75" customHeight="1" x14ac:dyDescent="0.2">
      <c r="A212" s="2"/>
      <c r="B212" s="2"/>
      <c r="C212" s="21"/>
      <c r="D212" s="26"/>
      <c r="E212" s="21"/>
      <c r="F212" s="21"/>
      <c r="G212" s="21"/>
      <c r="H212" s="27"/>
      <c r="I212" s="27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</row>
    <row r="213" spans="1:68" ht="21.75" customHeight="1" x14ac:dyDescent="0.2">
      <c r="A213" s="2"/>
      <c r="B213" s="2"/>
      <c r="C213" s="21"/>
      <c r="D213" s="26"/>
      <c r="E213" s="21"/>
      <c r="F213" s="21"/>
      <c r="G213" s="21"/>
      <c r="H213" s="27"/>
      <c r="I213" s="27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</row>
    <row r="214" spans="1:68" ht="21.75" customHeight="1" x14ac:dyDescent="0.2">
      <c r="A214" s="2"/>
      <c r="B214" s="2"/>
      <c r="C214" s="21"/>
      <c r="D214" s="26"/>
      <c r="E214" s="21"/>
      <c r="F214" s="21"/>
      <c r="G214" s="21"/>
      <c r="H214" s="27"/>
      <c r="I214" s="27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</row>
    <row r="215" spans="1:68" ht="21.75" customHeight="1" x14ac:dyDescent="0.2">
      <c r="A215" s="2"/>
      <c r="B215" s="2"/>
      <c r="C215" s="21"/>
      <c r="D215" s="26"/>
      <c r="E215" s="21"/>
      <c r="F215" s="21"/>
      <c r="G215" s="21"/>
      <c r="H215" s="27"/>
      <c r="I215" s="27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</row>
    <row r="216" spans="1:68" ht="21.75" customHeight="1" x14ac:dyDescent="0.2">
      <c r="A216" s="2"/>
      <c r="B216" s="2"/>
      <c r="C216" s="21"/>
      <c r="D216" s="26"/>
      <c r="E216" s="21"/>
      <c r="F216" s="21"/>
      <c r="G216" s="21"/>
      <c r="H216" s="27"/>
      <c r="I216" s="27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</row>
    <row r="217" spans="1:68" ht="21.75" customHeight="1" x14ac:dyDescent="0.2">
      <c r="A217" s="2"/>
      <c r="B217" s="2"/>
      <c r="C217" s="21"/>
      <c r="D217" s="26"/>
      <c r="E217" s="21"/>
      <c r="F217" s="21"/>
      <c r="G217" s="21"/>
      <c r="H217" s="27"/>
      <c r="I217" s="27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</row>
    <row r="218" spans="1:68" ht="21.75" customHeight="1" x14ac:dyDescent="0.2">
      <c r="A218" s="2"/>
      <c r="B218" s="2"/>
      <c r="C218" s="21"/>
      <c r="D218" s="26"/>
      <c r="E218" s="21"/>
      <c r="F218" s="21"/>
      <c r="G218" s="21"/>
      <c r="H218" s="27"/>
      <c r="I218" s="27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</row>
    <row r="219" spans="1:68" ht="21.75" customHeight="1" x14ac:dyDescent="0.2">
      <c r="A219" s="2"/>
      <c r="B219" s="2"/>
      <c r="C219" s="21"/>
      <c r="D219" s="26"/>
      <c r="E219" s="21"/>
      <c r="F219" s="21"/>
      <c r="G219" s="21"/>
      <c r="H219" s="27"/>
      <c r="I219" s="27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</row>
    <row r="220" spans="1:68" ht="21.75" customHeight="1" x14ac:dyDescent="0.2">
      <c r="A220" s="2"/>
      <c r="B220" s="2"/>
      <c r="C220" s="21"/>
      <c r="D220" s="26"/>
      <c r="E220" s="21"/>
      <c r="F220" s="21"/>
      <c r="G220" s="21"/>
      <c r="H220" s="27"/>
      <c r="I220" s="27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</row>
    <row r="221" spans="1:68" ht="21.75" customHeight="1" x14ac:dyDescent="0.2">
      <c r="A221" s="2"/>
      <c r="B221" s="2"/>
      <c r="C221" s="21"/>
      <c r="D221" s="26"/>
      <c r="E221" s="21"/>
      <c r="F221" s="21"/>
      <c r="G221" s="21"/>
      <c r="H221" s="27"/>
      <c r="I221" s="27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</row>
    <row r="222" spans="1:68" ht="21.75" customHeight="1" x14ac:dyDescent="0.2">
      <c r="A222" s="2"/>
      <c r="B222" s="2"/>
      <c r="C222" s="21"/>
      <c r="D222" s="26"/>
      <c r="E222" s="21"/>
      <c r="F222" s="21"/>
      <c r="G222" s="21"/>
      <c r="H222" s="27"/>
      <c r="I222" s="27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</row>
    <row r="223" spans="1:68" ht="21.75" customHeight="1" x14ac:dyDescent="0.2">
      <c r="A223" s="2"/>
      <c r="B223" s="2"/>
      <c r="C223" s="21"/>
      <c r="D223" s="26"/>
      <c r="E223" s="21"/>
      <c r="F223" s="21"/>
      <c r="G223" s="21"/>
      <c r="H223" s="27"/>
      <c r="I223" s="27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</row>
    <row r="224" spans="1:68" ht="21.75" customHeight="1" x14ac:dyDescent="0.2">
      <c r="A224" s="2"/>
      <c r="B224" s="2"/>
      <c r="C224" s="21"/>
      <c r="D224" s="26"/>
      <c r="E224" s="21"/>
      <c r="F224" s="21"/>
      <c r="G224" s="21"/>
      <c r="H224" s="27"/>
      <c r="I224" s="27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</row>
    <row r="225" spans="1:68" ht="21.75" customHeight="1" x14ac:dyDescent="0.2">
      <c r="A225" s="2"/>
      <c r="B225" s="2"/>
      <c r="C225" s="21"/>
      <c r="D225" s="26"/>
      <c r="E225" s="21"/>
      <c r="F225" s="21"/>
      <c r="G225" s="21"/>
      <c r="H225" s="27"/>
      <c r="I225" s="27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</row>
    <row r="226" spans="1:68" ht="21.75" customHeight="1" x14ac:dyDescent="0.2">
      <c r="A226" s="2"/>
      <c r="B226" s="2"/>
      <c r="C226" s="21"/>
      <c r="D226" s="26"/>
      <c r="E226" s="21"/>
      <c r="F226" s="21"/>
      <c r="G226" s="21"/>
      <c r="H226" s="27"/>
      <c r="I226" s="27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</row>
    <row r="227" spans="1:68" ht="21.75" customHeight="1" x14ac:dyDescent="0.2">
      <c r="A227" s="2"/>
      <c r="B227" s="2"/>
      <c r="C227" s="21"/>
      <c r="D227" s="26"/>
      <c r="E227" s="21"/>
      <c r="F227" s="21"/>
      <c r="G227" s="21"/>
      <c r="H227" s="27"/>
      <c r="I227" s="27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</row>
    <row r="228" spans="1:68" ht="21.75" customHeight="1" x14ac:dyDescent="0.2">
      <c r="A228" s="2"/>
      <c r="B228" s="2"/>
      <c r="C228" s="21"/>
      <c r="D228" s="26"/>
      <c r="E228" s="21"/>
      <c r="F228" s="21"/>
      <c r="G228" s="21"/>
      <c r="H228" s="27"/>
      <c r="I228" s="27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</row>
    <row r="229" spans="1:68" ht="21.75" customHeight="1" x14ac:dyDescent="0.2">
      <c r="A229" s="2"/>
      <c r="B229" s="2"/>
      <c r="C229" s="21"/>
      <c r="D229" s="26"/>
      <c r="E229" s="21"/>
      <c r="F229" s="21"/>
      <c r="G229" s="21"/>
      <c r="H229" s="27"/>
      <c r="I229" s="27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</row>
    <row r="230" spans="1:68" ht="21.75" customHeight="1" x14ac:dyDescent="0.2">
      <c r="A230" s="2"/>
      <c r="B230" s="2"/>
      <c r="C230" s="21"/>
      <c r="D230" s="26"/>
      <c r="E230" s="21"/>
      <c r="F230" s="21"/>
      <c r="G230" s="21"/>
      <c r="H230" s="27"/>
      <c r="I230" s="27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</row>
    <row r="231" spans="1:68" ht="21.75" customHeight="1" x14ac:dyDescent="0.2">
      <c r="A231" s="2"/>
      <c r="B231" s="2"/>
      <c r="C231" s="21"/>
      <c r="D231" s="26"/>
      <c r="E231" s="21"/>
      <c r="F231" s="21"/>
      <c r="G231" s="21"/>
      <c r="H231" s="27"/>
      <c r="I231" s="27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</row>
    <row r="232" spans="1:68" ht="21.75" customHeight="1" x14ac:dyDescent="0.2">
      <c r="A232" s="2"/>
      <c r="B232" s="2"/>
      <c r="C232" s="21"/>
      <c r="D232" s="26"/>
      <c r="E232" s="21"/>
      <c r="F232" s="21"/>
      <c r="G232" s="21"/>
      <c r="H232" s="27"/>
      <c r="I232" s="27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</row>
    <row r="233" spans="1:68" ht="21.75" customHeight="1" x14ac:dyDescent="0.2">
      <c r="A233" s="2"/>
      <c r="B233" s="2"/>
      <c r="C233" s="21"/>
      <c r="D233" s="26"/>
      <c r="E233" s="21"/>
      <c r="F233" s="21"/>
      <c r="G233" s="21"/>
      <c r="H233" s="27"/>
      <c r="I233" s="27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</row>
    <row r="234" spans="1:68" ht="21.75" customHeight="1" x14ac:dyDescent="0.2">
      <c r="A234" s="2"/>
      <c r="B234" s="2"/>
      <c r="C234" s="21"/>
      <c r="D234" s="26"/>
      <c r="E234" s="21"/>
      <c r="F234" s="21"/>
      <c r="G234" s="21"/>
      <c r="H234" s="27"/>
      <c r="I234" s="27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</row>
    <row r="235" spans="1:68" ht="21.75" customHeight="1" x14ac:dyDescent="0.2">
      <c r="A235" s="2"/>
      <c r="B235" s="2"/>
      <c r="C235" s="21"/>
      <c r="D235" s="26"/>
      <c r="E235" s="21"/>
      <c r="F235" s="21"/>
      <c r="G235" s="21"/>
      <c r="H235" s="27"/>
      <c r="I235" s="27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</row>
    <row r="236" spans="1:68" ht="21.75" customHeight="1" x14ac:dyDescent="0.2">
      <c r="A236" s="2"/>
      <c r="B236" s="2"/>
      <c r="C236" s="21"/>
      <c r="D236" s="26"/>
      <c r="E236" s="21"/>
      <c r="F236" s="21"/>
      <c r="G236" s="21"/>
      <c r="H236" s="27"/>
      <c r="I236" s="27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</row>
    <row r="237" spans="1:68" ht="21.75" customHeight="1" x14ac:dyDescent="0.2">
      <c r="A237" s="2"/>
      <c r="B237" s="2"/>
      <c r="C237" s="21"/>
      <c r="D237" s="26"/>
      <c r="E237" s="21"/>
      <c r="F237" s="21"/>
      <c r="G237" s="21"/>
      <c r="H237" s="27"/>
      <c r="I237" s="27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</row>
    <row r="238" spans="1:68" ht="21.75" customHeight="1" x14ac:dyDescent="0.2">
      <c r="A238" s="2"/>
      <c r="B238" s="2"/>
      <c r="C238" s="21"/>
      <c r="D238" s="26"/>
      <c r="E238" s="21"/>
      <c r="F238" s="21"/>
      <c r="G238" s="21"/>
      <c r="H238" s="27"/>
      <c r="I238" s="27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</row>
    <row r="239" spans="1:68" ht="21.75" customHeight="1" x14ac:dyDescent="0.2">
      <c r="A239" s="2"/>
      <c r="B239" s="2"/>
      <c r="C239" s="21"/>
      <c r="D239" s="26"/>
      <c r="E239" s="21"/>
      <c r="F239" s="21"/>
      <c r="G239" s="21"/>
      <c r="H239" s="27"/>
      <c r="I239" s="27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</row>
    <row r="240" spans="1:68" ht="21.75" customHeight="1" x14ac:dyDescent="0.2">
      <c r="A240" s="2"/>
      <c r="B240" s="2"/>
      <c r="C240" s="21"/>
      <c r="D240" s="26"/>
      <c r="E240" s="21"/>
      <c r="F240" s="21"/>
      <c r="G240" s="21"/>
      <c r="H240" s="27"/>
      <c r="I240" s="27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</row>
    <row r="241" spans="1:68" ht="21.75" customHeight="1" x14ac:dyDescent="0.2">
      <c r="A241" s="2"/>
      <c r="B241" s="2"/>
      <c r="C241" s="21"/>
      <c r="D241" s="26"/>
      <c r="E241" s="21"/>
      <c r="F241" s="21"/>
      <c r="G241" s="21"/>
      <c r="H241" s="27"/>
      <c r="I241" s="27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</row>
    <row r="242" spans="1:68" ht="21.75" customHeight="1" x14ac:dyDescent="0.2">
      <c r="A242" s="2"/>
      <c r="B242" s="2"/>
      <c r="C242" s="21"/>
      <c r="D242" s="26"/>
      <c r="E242" s="21"/>
      <c r="F242" s="21"/>
      <c r="G242" s="21"/>
      <c r="H242" s="27"/>
      <c r="I242" s="27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</row>
    <row r="243" spans="1:68" ht="21.75" customHeight="1" x14ac:dyDescent="0.2">
      <c r="A243" s="2"/>
      <c r="B243" s="2"/>
      <c r="C243" s="21"/>
      <c r="D243" s="26"/>
      <c r="E243" s="21"/>
      <c r="F243" s="21"/>
      <c r="G243" s="21"/>
      <c r="H243" s="27"/>
      <c r="I243" s="27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</row>
    <row r="244" spans="1:68" ht="21.75" customHeight="1" x14ac:dyDescent="0.2">
      <c r="A244" s="2"/>
      <c r="B244" s="2"/>
      <c r="C244" s="21"/>
      <c r="D244" s="26"/>
      <c r="E244" s="21"/>
      <c r="F244" s="21"/>
      <c r="G244" s="21"/>
      <c r="H244" s="27"/>
      <c r="I244" s="27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</row>
    <row r="245" spans="1:68" ht="21.75" customHeight="1" x14ac:dyDescent="0.2">
      <c r="A245" s="2"/>
      <c r="B245" s="2"/>
      <c r="C245" s="21"/>
      <c r="D245" s="26"/>
      <c r="E245" s="21"/>
      <c r="F245" s="21"/>
      <c r="G245" s="21"/>
      <c r="H245" s="27"/>
      <c r="I245" s="27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</row>
    <row r="246" spans="1:68" ht="21.75" customHeight="1" x14ac:dyDescent="0.2">
      <c r="A246" s="2"/>
      <c r="B246" s="2"/>
      <c r="C246" s="21"/>
      <c r="D246" s="26"/>
      <c r="E246" s="21"/>
      <c r="F246" s="21"/>
      <c r="G246" s="21"/>
      <c r="H246" s="27"/>
      <c r="I246" s="27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</row>
    <row r="247" spans="1:68" ht="21.75" customHeight="1" x14ac:dyDescent="0.2">
      <c r="A247" s="2"/>
      <c r="B247" s="2"/>
      <c r="C247" s="21"/>
      <c r="D247" s="26"/>
      <c r="E247" s="21"/>
      <c r="F247" s="21"/>
      <c r="G247" s="21"/>
      <c r="H247" s="27"/>
      <c r="I247" s="27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</row>
    <row r="248" spans="1:68" ht="21.75" customHeight="1" x14ac:dyDescent="0.2">
      <c r="A248" s="2"/>
      <c r="B248" s="2"/>
      <c r="C248" s="21"/>
      <c r="D248" s="26"/>
      <c r="E248" s="21"/>
      <c r="F248" s="21"/>
      <c r="G248" s="21"/>
      <c r="H248" s="27"/>
      <c r="I248" s="27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</row>
    <row r="249" spans="1:68" ht="21.75" customHeight="1" x14ac:dyDescent="0.2">
      <c r="A249" s="2"/>
      <c r="B249" s="2"/>
      <c r="C249" s="21"/>
      <c r="D249" s="26"/>
      <c r="E249" s="21"/>
      <c r="F249" s="21"/>
      <c r="G249" s="21"/>
      <c r="H249" s="27"/>
      <c r="I249" s="27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</row>
    <row r="250" spans="1:68" ht="21.75" customHeight="1" x14ac:dyDescent="0.2">
      <c r="A250" s="2"/>
      <c r="B250" s="2"/>
      <c r="C250" s="21"/>
      <c r="D250" s="26"/>
      <c r="E250" s="21"/>
      <c r="F250" s="21"/>
      <c r="G250" s="21"/>
      <c r="H250" s="27"/>
      <c r="I250" s="27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</row>
    <row r="251" spans="1:68" ht="21.75" customHeight="1" x14ac:dyDescent="0.2">
      <c r="A251" s="2"/>
      <c r="B251" s="2"/>
      <c r="C251" s="21"/>
      <c r="D251" s="26"/>
      <c r="E251" s="21"/>
      <c r="F251" s="21"/>
      <c r="G251" s="21"/>
      <c r="H251" s="27"/>
      <c r="I251" s="27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</row>
    <row r="252" spans="1:68" ht="21.75" customHeight="1" x14ac:dyDescent="0.2">
      <c r="A252" s="2"/>
      <c r="B252" s="2"/>
      <c r="C252" s="21"/>
      <c r="D252" s="26"/>
      <c r="E252" s="21"/>
      <c r="F252" s="21"/>
      <c r="G252" s="21"/>
      <c r="H252" s="27"/>
      <c r="I252" s="27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</row>
    <row r="253" spans="1:68" ht="21.75" customHeight="1" x14ac:dyDescent="0.2">
      <c r="A253" s="2"/>
      <c r="B253" s="2"/>
      <c r="C253" s="21"/>
      <c r="D253" s="26"/>
      <c r="E253" s="21"/>
      <c r="F253" s="21"/>
      <c r="G253" s="21"/>
      <c r="H253" s="27"/>
      <c r="I253" s="27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</row>
    <row r="254" spans="1:68" ht="21.75" customHeight="1" x14ac:dyDescent="0.2">
      <c r="A254" s="2"/>
      <c r="B254" s="2"/>
      <c r="C254" s="21"/>
      <c r="D254" s="26"/>
      <c r="E254" s="21"/>
      <c r="F254" s="21"/>
      <c r="G254" s="21"/>
      <c r="H254" s="27"/>
      <c r="I254" s="27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</row>
    <row r="255" spans="1:68" ht="21.75" customHeight="1" x14ac:dyDescent="0.2">
      <c r="A255" s="2"/>
      <c r="B255" s="2"/>
      <c r="C255" s="21"/>
      <c r="D255" s="26"/>
      <c r="E255" s="21"/>
      <c r="F255" s="21"/>
      <c r="G255" s="21"/>
      <c r="H255" s="27"/>
      <c r="I255" s="27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</row>
    <row r="256" spans="1:68" ht="21.75" customHeight="1" x14ac:dyDescent="0.2">
      <c r="A256" s="2"/>
      <c r="B256" s="2"/>
      <c r="C256" s="21"/>
      <c r="D256" s="26"/>
      <c r="E256" s="21"/>
      <c r="F256" s="21"/>
      <c r="G256" s="21"/>
      <c r="H256" s="27"/>
      <c r="I256" s="27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</row>
    <row r="257" spans="1:68" ht="21.75" customHeight="1" x14ac:dyDescent="0.2">
      <c r="A257" s="2"/>
      <c r="B257" s="2"/>
      <c r="C257" s="21"/>
      <c r="D257" s="26"/>
      <c r="E257" s="21"/>
      <c r="F257" s="21"/>
      <c r="G257" s="21"/>
      <c r="H257" s="27"/>
      <c r="I257" s="27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</row>
    <row r="258" spans="1:68" ht="21.75" customHeight="1" x14ac:dyDescent="0.2">
      <c r="A258" s="2"/>
      <c r="B258" s="2"/>
      <c r="C258" s="21"/>
      <c r="D258" s="26"/>
      <c r="E258" s="21"/>
      <c r="F258" s="21"/>
      <c r="G258" s="21"/>
      <c r="H258" s="27"/>
      <c r="I258" s="27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</row>
    <row r="259" spans="1:68" ht="21.75" customHeight="1" x14ac:dyDescent="0.2">
      <c r="A259" s="2"/>
      <c r="B259" s="2"/>
      <c r="C259" s="21"/>
      <c r="D259" s="26"/>
      <c r="E259" s="21"/>
      <c r="F259" s="21"/>
      <c r="G259" s="21"/>
      <c r="H259" s="27"/>
      <c r="I259" s="27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</row>
    <row r="260" spans="1:68" ht="21.75" customHeight="1" x14ac:dyDescent="0.2">
      <c r="A260" s="2"/>
      <c r="B260" s="2"/>
      <c r="C260" s="21"/>
      <c r="D260" s="26"/>
      <c r="E260" s="21"/>
      <c r="F260" s="21"/>
      <c r="G260" s="21"/>
      <c r="H260" s="27"/>
      <c r="I260" s="27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</row>
    <row r="261" spans="1:68" ht="21.75" customHeight="1" x14ac:dyDescent="0.2">
      <c r="A261" s="2"/>
      <c r="B261" s="2"/>
      <c r="C261" s="21"/>
      <c r="D261" s="26"/>
      <c r="E261" s="21"/>
      <c r="F261" s="21"/>
      <c r="G261" s="21"/>
      <c r="H261" s="27"/>
      <c r="I261" s="27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</row>
    <row r="262" spans="1:68" ht="21.75" customHeight="1" x14ac:dyDescent="0.2">
      <c r="A262" s="2"/>
      <c r="B262" s="2"/>
      <c r="C262" s="21"/>
      <c r="D262" s="26"/>
      <c r="E262" s="21"/>
      <c r="F262" s="21"/>
      <c r="G262" s="21"/>
      <c r="H262" s="27"/>
      <c r="I262" s="27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</row>
    <row r="263" spans="1:68" ht="21.75" customHeight="1" x14ac:dyDescent="0.2">
      <c r="A263" s="2"/>
      <c r="B263" s="2"/>
      <c r="C263" s="21"/>
      <c r="D263" s="26"/>
      <c r="E263" s="21"/>
      <c r="F263" s="21"/>
      <c r="G263" s="21"/>
      <c r="H263" s="27"/>
      <c r="I263" s="27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</row>
    <row r="264" spans="1:68" ht="21.75" customHeight="1" x14ac:dyDescent="0.2">
      <c r="A264" s="2"/>
      <c r="B264" s="2"/>
      <c r="C264" s="21"/>
      <c r="D264" s="26"/>
      <c r="E264" s="21"/>
      <c r="F264" s="21"/>
      <c r="G264" s="21"/>
      <c r="H264" s="27"/>
      <c r="I264" s="27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</row>
    <row r="265" spans="1:68" ht="21.75" customHeight="1" x14ac:dyDescent="0.2">
      <c r="A265" s="2"/>
      <c r="B265" s="2"/>
      <c r="C265" s="21"/>
      <c r="D265" s="26"/>
      <c r="E265" s="21"/>
      <c r="F265" s="21"/>
      <c r="G265" s="21"/>
      <c r="H265" s="27"/>
      <c r="I265" s="27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</row>
    <row r="266" spans="1:68" ht="21.75" customHeight="1" x14ac:dyDescent="0.2">
      <c r="A266" s="2"/>
      <c r="B266" s="2"/>
      <c r="C266" s="21"/>
      <c r="D266" s="26"/>
      <c r="E266" s="21"/>
      <c r="F266" s="21"/>
      <c r="G266" s="21"/>
      <c r="H266" s="27"/>
      <c r="I266" s="27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</row>
    <row r="267" spans="1:68" ht="21.75" customHeight="1" x14ac:dyDescent="0.2">
      <c r="A267" s="2"/>
      <c r="B267" s="2"/>
      <c r="C267" s="21"/>
      <c r="D267" s="26"/>
      <c r="E267" s="21"/>
      <c r="F267" s="21"/>
      <c r="G267" s="21"/>
      <c r="H267" s="27"/>
      <c r="I267" s="27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</row>
    <row r="268" spans="1:68" ht="21.75" customHeight="1" x14ac:dyDescent="0.2">
      <c r="A268" s="2"/>
      <c r="B268" s="2"/>
      <c r="C268" s="21"/>
      <c r="D268" s="26"/>
      <c r="E268" s="21"/>
      <c r="F268" s="21"/>
      <c r="G268" s="21"/>
      <c r="H268" s="27"/>
      <c r="I268" s="27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</row>
    <row r="269" spans="1:68" ht="21.75" customHeight="1" x14ac:dyDescent="0.2">
      <c r="A269" s="2"/>
      <c r="B269" s="2"/>
      <c r="C269" s="21"/>
      <c r="D269" s="26"/>
      <c r="E269" s="21"/>
      <c r="F269" s="21"/>
      <c r="G269" s="21"/>
      <c r="H269" s="27"/>
      <c r="I269" s="27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</row>
    <row r="270" spans="1:68" ht="21.75" customHeight="1" x14ac:dyDescent="0.2">
      <c r="A270" s="2"/>
      <c r="B270" s="2"/>
      <c r="C270" s="21"/>
      <c r="D270" s="26"/>
      <c r="E270" s="21"/>
      <c r="F270" s="21"/>
      <c r="G270" s="21"/>
      <c r="H270" s="27"/>
      <c r="I270" s="27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</row>
    <row r="271" spans="1:68" ht="21.75" customHeight="1" x14ac:dyDescent="0.2">
      <c r="A271" s="2"/>
      <c r="B271" s="2"/>
      <c r="C271" s="21"/>
      <c r="D271" s="26"/>
      <c r="E271" s="21"/>
      <c r="F271" s="21"/>
      <c r="G271" s="21"/>
      <c r="H271" s="27"/>
      <c r="I271" s="27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</row>
    <row r="272" spans="1:68" ht="21.75" customHeight="1" x14ac:dyDescent="0.2">
      <c r="A272" s="2"/>
      <c r="B272" s="2"/>
      <c r="C272" s="21"/>
      <c r="D272" s="26"/>
      <c r="E272" s="21"/>
      <c r="F272" s="21"/>
      <c r="G272" s="21"/>
      <c r="H272" s="27"/>
      <c r="I272" s="27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</row>
    <row r="273" spans="1:68" ht="21.75" customHeight="1" x14ac:dyDescent="0.2">
      <c r="A273" s="2"/>
      <c r="B273" s="2"/>
      <c r="C273" s="21"/>
      <c r="D273" s="26"/>
      <c r="E273" s="21"/>
      <c r="F273" s="21"/>
      <c r="G273" s="21"/>
      <c r="H273" s="27"/>
      <c r="I273" s="27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</row>
    <row r="274" spans="1:68" ht="21.75" customHeight="1" x14ac:dyDescent="0.2">
      <c r="A274" s="2"/>
      <c r="B274" s="2"/>
      <c r="C274" s="21"/>
      <c r="D274" s="26"/>
      <c r="E274" s="21"/>
      <c r="F274" s="21"/>
      <c r="G274" s="21"/>
      <c r="H274" s="27"/>
      <c r="I274" s="27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</row>
    <row r="275" spans="1:68" ht="21.75" customHeight="1" x14ac:dyDescent="0.2">
      <c r="A275" s="2"/>
      <c r="B275" s="2"/>
      <c r="C275" s="21"/>
      <c r="D275" s="26"/>
      <c r="E275" s="21"/>
      <c r="F275" s="21"/>
      <c r="G275" s="21"/>
      <c r="H275" s="27"/>
      <c r="I275" s="27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</row>
    <row r="276" spans="1:68" ht="21.75" customHeight="1" x14ac:dyDescent="0.2">
      <c r="A276" s="2"/>
      <c r="B276" s="2"/>
      <c r="C276" s="21"/>
      <c r="D276" s="26"/>
      <c r="E276" s="21"/>
      <c r="F276" s="21"/>
      <c r="G276" s="21"/>
      <c r="H276" s="27"/>
      <c r="I276" s="27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</row>
    <row r="277" spans="1:68" ht="21.75" customHeight="1" x14ac:dyDescent="0.2">
      <c r="A277" s="2"/>
      <c r="B277" s="2"/>
      <c r="C277" s="21"/>
      <c r="D277" s="26"/>
      <c r="E277" s="21"/>
      <c r="F277" s="21"/>
      <c r="G277" s="21"/>
      <c r="H277" s="27"/>
      <c r="I277" s="27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</row>
    <row r="278" spans="1:68" ht="21.75" customHeight="1" x14ac:dyDescent="0.2">
      <c r="A278" s="2"/>
      <c r="B278" s="2"/>
      <c r="C278" s="21"/>
      <c r="D278" s="26"/>
      <c r="E278" s="21"/>
      <c r="F278" s="21"/>
      <c r="G278" s="21"/>
      <c r="H278" s="27"/>
      <c r="I278" s="27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</row>
    <row r="279" spans="1:68" ht="21.75" customHeight="1" x14ac:dyDescent="0.2">
      <c r="A279" s="2"/>
      <c r="B279" s="2"/>
      <c r="C279" s="21"/>
      <c r="D279" s="26"/>
      <c r="E279" s="21"/>
      <c r="F279" s="21"/>
      <c r="G279" s="21"/>
      <c r="H279" s="27"/>
      <c r="I279" s="27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</row>
    <row r="280" spans="1:68" ht="21.75" customHeight="1" x14ac:dyDescent="0.2">
      <c r="A280" s="2"/>
      <c r="B280" s="2"/>
      <c r="C280" s="21"/>
      <c r="D280" s="26"/>
      <c r="E280" s="21"/>
      <c r="F280" s="21"/>
      <c r="G280" s="21"/>
      <c r="H280" s="27"/>
      <c r="I280" s="27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</row>
    <row r="281" spans="1:68" ht="21.75" customHeight="1" x14ac:dyDescent="0.2">
      <c r="A281" s="2"/>
      <c r="B281" s="2"/>
      <c r="C281" s="21"/>
      <c r="D281" s="26"/>
      <c r="E281" s="21"/>
      <c r="F281" s="21"/>
      <c r="G281" s="21"/>
      <c r="H281" s="27"/>
      <c r="I281" s="27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</row>
    <row r="282" spans="1:68" ht="21.75" customHeight="1" x14ac:dyDescent="0.2">
      <c r="A282" s="2"/>
      <c r="B282" s="2"/>
      <c r="C282" s="21"/>
      <c r="D282" s="26"/>
      <c r="E282" s="21"/>
      <c r="F282" s="21"/>
      <c r="G282" s="21"/>
      <c r="H282" s="27"/>
      <c r="I282" s="27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</row>
    <row r="283" spans="1:68" ht="21.75" customHeight="1" x14ac:dyDescent="0.2">
      <c r="A283" s="2"/>
      <c r="B283" s="2"/>
      <c r="C283" s="21"/>
      <c r="D283" s="26"/>
      <c r="E283" s="21"/>
      <c r="F283" s="21"/>
      <c r="G283" s="21"/>
      <c r="H283" s="27"/>
      <c r="I283" s="27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</row>
    <row r="284" spans="1:68" ht="21.75" customHeight="1" x14ac:dyDescent="0.2">
      <c r="A284" s="2"/>
      <c r="B284" s="2"/>
      <c r="C284" s="21"/>
      <c r="D284" s="26"/>
      <c r="E284" s="21"/>
      <c r="F284" s="21"/>
      <c r="G284" s="21"/>
      <c r="H284" s="27"/>
      <c r="I284" s="27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</row>
    <row r="285" spans="1:68" ht="21.75" customHeight="1" x14ac:dyDescent="0.2">
      <c r="A285" s="2"/>
      <c r="B285" s="2"/>
      <c r="C285" s="21"/>
      <c r="D285" s="26"/>
      <c r="E285" s="21"/>
      <c r="F285" s="21"/>
      <c r="G285" s="21"/>
      <c r="H285" s="27"/>
      <c r="I285" s="27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</row>
    <row r="286" spans="1:68" ht="21.75" customHeight="1" x14ac:dyDescent="0.2">
      <c r="A286" s="2"/>
      <c r="B286" s="2"/>
      <c r="C286" s="21"/>
      <c r="D286" s="26"/>
      <c r="E286" s="21"/>
      <c r="F286" s="21"/>
      <c r="G286" s="21"/>
      <c r="H286" s="27"/>
      <c r="I286" s="27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</row>
    <row r="287" spans="1:68" ht="21.75" customHeight="1" x14ac:dyDescent="0.2">
      <c r="A287" s="2"/>
      <c r="B287" s="2"/>
      <c r="C287" s="21"/>
      <c r="D287" s="26"/>
      <c r="E287" s="21"/>
      <c r="F287" s="21"/>
      <c r="G287" s="21"/>
      <c r="H287" s="27"/>
      <c r="I287" s="27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</row>
    <row r="288" spans="1:68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spans="1:68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spans="1:68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spans="1:68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spans="1:68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spans="1:68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spans="1:68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spans="1:68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spans="1:68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1:68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spans="1:68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spans="1:68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1:68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spans="1:68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spans="1:68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spans="1:68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spans="1:68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spans="1:68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spans="1:68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spans="1:68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spans="1:68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spans="1:68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spans="1:68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spans="1:68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spans="1:68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spans="1:68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spans="1:68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spans="1:68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spans="1:68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spans="1:68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spans="1:68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spans="1:68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spans="1:68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spans="1:68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spans="1:68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spans="1:68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spans="1:68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spans="1:68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spans="1:68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spans="1:68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spans="1:68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spans="1:68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spans="1:68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spans="1:68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spans="1:68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spans="1:68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spans="1:68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spans="1:68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spans="1:68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spans="1:68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spans="1:68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1:68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spans="1:68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spans="1:68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1:68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spans="1:68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spans="1:68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spans="1:68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spans="1:68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spans="1:68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spans="1:68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spans="1:68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spans="1:68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spans="1:68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spans="1:68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spans="1:68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spans="1:68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spans="1:68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spans="1:68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spans="1:68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spans="1:68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spans="1:68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spans="1:68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spans="1:68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spans="1:68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spans="1:68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spans="1:68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spans="1:68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spans="1:68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spans="1:68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spans="1:68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spans="1:68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spans="1:68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spans="1:68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spans="1:68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spans="1:68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spans="1:68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spans="1:68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spans="1:68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spans="1:68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spans="1:68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spans="1:68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spans="1:68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1:68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spans="1:68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spans="1:68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1:68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spans="1:68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spans="1:68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spans="1:68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spans="1:68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spans="1:68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spans="1:68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spans="1:68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spans="1:68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spans="1:68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spans="1:68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spans="1:68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spans="1:68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spans="1:68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spans="1:68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spans="1:68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spans="1:68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spans="1:68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spans="1:68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spans="1:68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spans="1:68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spans="1:68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spans="1:68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spans="1:68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spans="1:68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spans="1:68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spans="1:68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spans="1:68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spans="1:68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spans="1:68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spans="1:68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spans="1:68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spans="1:68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spans="1:68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spans="1:68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spans="1:68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spans="1:68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spans="1:68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spans="1:68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spans="1:68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spans="1:68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spans="1:68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spans="1:68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spans="1:68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spans="1:68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spans="1:68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spans="1:68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spans="1:68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spans="1:68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spans="1:68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spans="1:68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spans="1:68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spans="1:68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spans="1:68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spans="1:68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spans="1:68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spans="1:68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spans="1:68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spans="1:68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spans="1:68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spans="1:68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spans="1:68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spans="1:68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spans="1:68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spans="1:68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spans="1:68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spans="1:68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spans="1:68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spans="1:68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spans="1:68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spans="1:68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spans="1:68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spans="1:68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spans="1:68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spans="1:68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spans="1:68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spans="1:68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spans="1:68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spans="1:68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spans="1:68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spans="1:68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spans="1:68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spans="1:68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spans="1:68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spans="1:68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spans="1:68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spans="1:68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spans="1:68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spans="1:68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spans="1:68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spans="1:68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spans="1:68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spans="1:68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spans="1:68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spans="1:68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spans="1:68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spans="1:68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spans="1:68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spans="1:68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spans="1:68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spans="1:68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spans="1:68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spans="1:68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spans="1:68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spans="1:68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spans="1:68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spans="1:68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spans="1:68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spans="1:68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spans="1:68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spans="1:68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spans="1:68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spans="1:68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spans="1:68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spans="1:68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spans="1:68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spans="1:68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spans="1:68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spans="1:68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spans="1:68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spans="1:68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spans="1:68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spans="1:68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spans="1:68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spans="1:68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spans="1:68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spans="1:68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spans="1:68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spans="1:68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spans="1:68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spans="1:68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spans="1:68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spans="1:68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spans="1:68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spans="1:68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spans="1:68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 spans="1:68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 spans="1:68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 spans="1:68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 spans="1:68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 spans="1:68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 spans="1:68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 spans="1:68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 spans="1:68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 spans="1:68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 spans="1:68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 spans="1:68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 spans="1:68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 spans="1:68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 spans="1:68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 spans="1:68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 spans="1:68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 spans="1:68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 spans="1:68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 spans="1:68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 spans="1:68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 spans="1:68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 spans="1:68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 spans="1:68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 spans="1:68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 spans="1:68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 spans="1:68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 spans="1:68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 spans="1:68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 spans="1:68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spans="1:68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 spans="1:68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 spans="1:68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spans="1:68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 spans="1:68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 spans="1:68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 spans="1:68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 spans="1:68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 spans="1:68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 spans="1:68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 spans="1:68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 spans="1:68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 spans="1:68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 spans="1:68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 spans="1:68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 spans="1:68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 spans="1:68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 spans="1:68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 spans="1:68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 spans="1:68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 spans="1:68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 spans="1:68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 spans="1:68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 spans="1:68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 spans="1:68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 spans="1:68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 spans="1:68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 spans="1:68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 spans="1:68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 spans="1:68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 spans="1:68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 spans="1:68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 spans="1:68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 spans="1:68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 spans="1:68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 spans="1:68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 spans="1:68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 spans="1:68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 spans="1:68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 spans="1:68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 spans="1:68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 spans="1:68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spans="1:68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 spans="1:68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 spans="1:68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spans="1:68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 spans="1:68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 spans="1:68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 spans="1:68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 spans="1:68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 spans="1:68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 spans="1:68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 spans="1:68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 spans="1:68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 spans="1:68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 spans="1:68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 spans="1:68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 spans="1:68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 spans="1:68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 spans="1:68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 spans="1:68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 spans="1:68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 spans="1:68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 spans="1:68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 spans="1:68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 spans="1:68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 spans="1:68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 spans="1:68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 spans="1:68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 spans="1:68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 spans="1:68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 spans="1:68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 spans="1:68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 spans="1:68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 spans="1:68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 spans="1:68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 spans="1:68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 spans="1:68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 spans="1:68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 spans="1:68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 spans="1:68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 spans="1:68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 spans="1:68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 spans="1:68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spans="1:68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 spans="1:68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 spans="1:68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spans="1:68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 spans="1:68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 spans="1:68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 spans="1:68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 spans="1:68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 spans="1:68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 spans="1:68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 spans="1:68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 spans="1:68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 spans="1:68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 spans="1:68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 spans="1:68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 spans="1:68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 spans="1:68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 spans="1:68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 spans="1:68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 spans="1:68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 spans="1:68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 spans="1:68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 spans="1:68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 spans="1:68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 spans="1:68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 spans="1:68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spans="1:68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spans="1:68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spans="1:68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spans="1:68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spans="1:68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spans="1:68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spans="1:68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spans="1:68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spans="1:68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spans="1:68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spans="1:68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spans="1:68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spans="1:68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 spans="1:68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 spans="1:68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 spans="1:68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spans="1:68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 spans="1:68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 spans="1:68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spans="1:68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 spans="1:68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 spans="1:68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 spans="1:68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 spans="1:68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 spans="1:68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 spans="1:68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 spans="1:68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 spans="1:68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 spans="1:68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 spans="1:68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 spans="1:68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 spans="1:68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 spans="1:68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 spans="1:68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 spans="1:68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 spans="1:68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 spans="1:68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 spans="1:68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 spans="1:68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 spans="1:68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 spans="1:68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 spans="1:68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 spans="1:68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 spans="1:68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 spans="1:68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 spans="1:68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 spans="1:68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 spans="1:68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 spans="1:68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 spans="1:68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 spans="1:68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 spans="1:68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 spans="1:68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 spans="1:68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 spans="1:68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 spans="1:68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 spans="1:68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 spans="1:68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spans="1:68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 spans="1:68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 spans="1:68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spans="1:68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 spans="1:68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 spans="1:68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 spans="1:68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 spans="1:68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 spans="1:68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 spans="1:68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 spans="1:68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 spans="1:68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 spans="1:68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 spans="1:68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 spans="1:68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 spans="1:68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 spans="1:68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 spans="1:68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 spans="1:68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 spans="1:68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 spans="1:68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 spans="1:68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 spans="1:68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 spans="1:68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 spans="1:68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 spans="1:68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 spans="1:68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 spans="1:68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 spans="1:68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 spans="1:68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 spans="1:68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 spans="1:68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 spans="1:68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 spans="1:68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 spans="1:68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 spans="1:68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 spans="1:68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 spans="1:68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 spans="1:68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 spans="1:68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 spans="1:68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 spans="1:68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spans="1:68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 spans="1:68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 spans="1:68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spans="1:68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 spans="1:68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 spans="1:68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 spans="1:68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 spans="1:68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 spans="1:68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 spans="1:68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 spans="1:68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 spans="1:68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 spans="1:68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 spans="1:68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 spans="1:68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 spans="1:68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 spans="1:68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 spans="1:68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 spans="1:68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 spans="1:68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 spans="1:68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 spans="1:68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 spans="1:68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 spans="1:68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 spans="1:68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 spans="1:68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 spans="1:68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 spans="1:68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 spans="1:68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 spans="1:68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 spans="1:68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 spans="1:68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 spans="1:68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 spans="1:68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 spans="1:68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 spans="1:68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 spans="1:68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 spans="1:68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 spans="1:68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 spans="1:68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 spans="1:68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 spans="1:68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spans="1:68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 spans="1:68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 spans="1:68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spans="1:68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 spans="1:68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 spans="1:68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 spans="1:68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 spans="1:68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 spans="1:68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 spans="1:68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 spans="1:68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 spans="1:68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 spans="1:68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 spans="1:68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 spans="1:68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 spans="1:68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 spans="1:68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 spans="1:68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 spans="1:68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 spans="1:68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 spans="1:68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 spans="1:68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 spans="1:68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 spans="1:68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 spans="1:68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 spans="1:68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 spans="1:68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 spans="1:68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 spans="1:68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 spans="1:68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 spans="1:68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 spans="1:68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 spans="1:68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 spans="1:68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 spans="1:68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 spans="1:68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 spans="1:68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 spans="1:68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 spans="1:68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 spans="1:68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 spans="1:68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 spans="1:68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spans="1:68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 spans="1:68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 spans="1:68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spans="1:68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 spans="1:68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 spans="1:68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 spans="1:68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 spans="1:68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 spans="1:68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 spans="1:68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 spans="1:68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 spans="1:68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 spans="1:68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 spans="1:68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 spans="1:68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 spans="1:68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 spans="1:68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 spans="1:68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 spans="1:68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 spans="1:68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 spans="1:68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 spans="1:68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 spans="1:68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 spans="1:68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 spans="1:68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 spans="1:68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 spans="1:68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 spans="1:68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 spans="1:68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 spans="1:68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 spans="1:68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 spans="1:68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 spans="1:68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 spans="1:68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 spans="1:68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 spans="1:68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 spans="1:68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 spans="1:68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 spans="1:68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 spans="1:68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 spans="1:68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 spans="1:68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spans="1:68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 spans="1:68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 spans="1:68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spans="1:68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 spans="1:68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 spans="1:68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 spans="1:68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 spans="1:68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 spans="1:68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 spans="1:68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 spans="1:68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 spans="1:68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 spans="1:68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 spans="1:68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 spans="1:68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 spans="1:68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 spans="1:68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 spans="1:68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 spans="1:68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 spans="1:68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 spans="1:68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 spans="1:68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 spans="1:68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 spans="1:68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 spans="1:68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 spans="1:68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 spans="1:68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 spans="1:68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 spans="1:68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 spans="1:68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 spans="1:68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 spans="1:68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 spans="1:68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 spans="1:68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 spans="1:68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 spans="1:68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 spans="1:68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 spans="1:68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 spans="1:68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 spans="1:68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 spans="1:68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 spans="1:68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spans="1:68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 spans="1:68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 spans="1:68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spans="1:68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 spans="1:68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 spans="1:68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 spans="1:68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 spans="1:68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 spans="1:68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 spans="1:68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 spans="1:68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 spans="1:68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 spans="1:68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 spans="1:68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 spans="1:68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 spans="1:68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 spans="1:68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 spans="1:68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 spans="1:68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 spans="1:68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 spans="1:68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 spans="1:68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 spans="1:68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 spans="1:68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 spans="1:68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 spans="1:68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 spans="1:68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 spans="1:68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 spans="1:68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 spans="1:68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 spans="1:68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 spans="1:68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 spans="1:68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 spans="1:68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 spans="1:68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 spans="1:68" ht="15.7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 spans="1:68" ht="15.7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 spans="1:68" ht="15.7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 spans="1:68" ht="15.7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 spans="1:68" ht="15.7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 spans="1:68" ht="15.7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 spans="1:68" ht="15.7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 spans="1:68" ht="15.7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</row>
    <row r="970" spans="1:68" ht="15.7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</row>
    <row r="971" spans="1:68" ht="15.7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 spans="1:68" ht="15.7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</row>
    <row r="973" spans="1:68" ht="15.7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</row>
    <row r="974" spans="1:68" ht="15.7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</row>
    <row r="975" spans="1:68" ht="15.7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</row>
    <row r="976" spans="1:68" ht="15.7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</row>
    <row r="977" spans="1:68" ht="15.7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</row>
    <row r="978" spans="1:68" ht="15.7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</row>
    <row r="979" spans="1:68" ht="15.7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</row>
    <row r="980" spans="1:68" ht="15.7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</row>
    <row r="981" spans="1:68" ht="15.7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</row>
    <row r="982" spans="1:68" ht="15.7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</row>
    <row r="983" spans="1:68" ht="15.7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</row>
    <row r="984" spans="1:68" ht="15.7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</row>
    <row r="985" spans="1:68" ht="15.7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</row>
    <row r="986" spans="1:68" ht="15.7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</row>
    <row r="987" spans="1:68" ht="15.7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</row>
    <row r="988" spans="1:68" ht="15.7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</row>
    <row r="989" spans="1:68" ht="15.7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</row>
    <row r="990" spans="1:68" ht="15.7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</row>
    <row r="991" spans="1:68" ht="15.7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</row>
    <row r="992" spans="1:68" ht="15.7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</row>
    <row r="993" spans="1:68" ht="15.7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</row>
    <row r="994" spans="1:68" ht="15.75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</row>
    <row r="995" spans="1:68" ht="15.75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</row>
    <row r="996" spans="1:68" ht="15.75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</row>
    <row r="997" spans="1:68" ht="15.75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</row>
    <row r="998" spans="1:68" ht="15.75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</row>
    <row r="999" spans="1:68" ht="15.75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</row>
    <row r="1000" spans="1:68" ht="15.75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</row>
    <row r="1001" spans="1:68" ht="15.75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</row>
    <row r="1002" spans="1:68" ht="15.75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</row>
    <row r="1003" spans="1:68" ht="15.75" customHeight="1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</row>
    <row r="1004" spans="1:68" ht="15.75" customHeight="1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</row>
    <row r="1005" spans="1:68" ht="15.75" customHeight="1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</row>
    <row r="1006" spans="1:68" ht="15.75" customHeight="1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</row>
    <row r="1007" spans="1:68" ht="15.75" customHeight="1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</row>
  </sheetData>
  <mergeCells count="328">
    <mergeCell ref="B1:Q1"/>
    <mergeCell ref="B2:Y2"/>
    <mergeCell ref="Z2:AN2"/>
    <mergeCell ref="AO2:AU2"/>
    <mergeCell ref="B3:Y3"/>
    <mergeCell ref="Z3:AU3"/>
    <mergeCell ref="B5:H6"/>
    <mergeCell ref="AG5:AU6"/>
    <mergeCell ref="I5:Y6"/>
    <mergeCell ref="Z5:AF6"/>
    <mergeCell ref="B7:H8"/>
    <mergeCell ref="I7:Y8"/>
    <mergeCell ref="Z7:AF8"/>
    <mergeCell ref="AG7:AU8"/>
    <mergeCell ref="B9:H10"/>
    <mergeCell ref="AG9:AU10"/>
    <mergeCell ref="I9:Y10"/>
    <mergeCell ref="Z9:AF10"/>
    <mergeCell ref="B11:H12"/>
    <mergeCell ref="I11:O12"/>
    <mergeCell ref="S11:T12"/>
    <mergeCell ref="U11:Y12"/>
    <mergeCell ref="AE17:AH17"/>
    <mergeCell ref="B14:C14"/>
    <mergeCell ref="Z14:AC14"/>
    <mergeCell ref="AE15:AH15"/>
    <mergeCell ref="AI15:AL15"/>
    <mergeCell ref="AE16:AH16"/>
    <mergeCell ref="AI16:AL16"/>
    <mergeCell ref="AM16:AQ16"/>
    <mergeCell ref="AT16:AU16"/>
    <mergeCell ref="T14:Y14"/>
    <mergeCell ref="AE14:AH14"/>
    <mergeCell ref="AI14:AL14"/>
    <mergeCell ref="AM14:AQ14"/>
    <mergeCell ref="AR14:AR15"/>
    <mergeCell ref="AS14:AS15"/>
    <mergeCell ref="AT14:AU15"/>
    <mergeCell ref="AM15:AQ15"/>
    <mergeCell ref="AM21:AQ21"/>
    <mergeCell ref="AT21:AU21"/>
    <mergeCell ref="B21:C21"/>
    <mergeCell ref="B22:C22"/>
    <mergeCell ref="D22:S22"/>
    <mergeCell ref="T22:Y22"/>
    <mergeCell ref="Z22:AC22"/>
    <mergeCell ref="AE22:AH22"/>
    <mergeCell ref="AI22:AL22"/>
    <mergeCell ref="AT23:AU23"/>
    <mergeCell ref="AV23:AY23"/>
    <mergeCell ref="B23:C23"/>
    <mergeCell ref="D23:S23"/>
    <mergeCell ref="T23:Y23"/>
    <mergeCell ref="Z23:AC23"/>
    <mergeCell ref="AE23:AH23"/>
    <mergeCell ref="AI23:AL23"/>
    <mergeCell ref="AM23:AQ23"/>
    <mergeCell ref="B18:C18"/>
    <mergeCell ref="D18:S18"/>
    <mergeCell ref="T18:Y18"/>
    <mergeCell ref="Z18:AC18"/>
    <mergeCell ref="AE18:AH18"/>
    <mergeCell ref="AI18:AL18"/>
    <mergeCell ref="AM18:AP18"/>
    <mergeCell ref="AT18:AU18"/>
    <mergeCell ref="D14:S14"/>
    <mergeCell ref="B15:C15"/>
    <mergeCell ref="D15:S15"/>
    <mergeCell ref="B16:C16"/>
    <mergeCell ref="D16:S16"/>
    <mergeCell ref="B17:C17"/>
    <mergeCell ref="D17:S17"/>
    <mergeCell ref="AI17:AL17"/>
    <mergeCell ref="AM17:AP17"/>
    <mergeCell ref="AT17:AU17"/>
    <mergeCell ref="T15:Y15"/>
    <mergeCell ref="Z15:AC15"/>
    <mergeCell ref="T16:Y16"/>
    <mergeCell ref="Z16:AC16"/>
    <mergeCell ref="T17:Y17"/>
    <mergeCell ref="Z17:AC17"/>
    <mergeCell ref="AV20:AY20"/>
    <mergeCell ref="B19:C19"/>
    <mergeCell ref="B20:C20"/>
    <mergeCell ref="D20:S20"/>
    <mergeCell ref="T20:Y20"/>
    <mergeCell ref="Z20:AC20"/>
    <mergeCell ref="AE20:AH20"/>
    <mergeCell ref="AI20:AL20"/>
    <mergeCell ref="AM22:AQ22"/>
    <mergeCell ref="AT22:AU22"/>
    <mergeCell ref="D19:S19"/>
    <mergeCell ref="T19:Y19"/>
    <mergeCell ref="Z19:AC19"/>
    <mergeCell ref="AE19:AH19"/>
    <mergeCell ref="AI19:AL19"/>
    <mergeCell ref="AM19:AQ19"/>
    <mergeCell ref="AT19:AU19"/>
    <mergeCell ref="AM20:AQ20"/>
    <mergeCell ref="AT20:AU20"/>
    <mergeCell ref="D21:S21"/>
    <mergeCell ref="T21:Y21"/>
    <mergeCell ref="Z21:AC21"/>
    <mergeCell ref="AE21:AH21"/>
    <mergeCell ref="AI21:AL21"/>
    <mergeCell ref="Z29:AC29"/>
    <mergeCell ref="AE29:AH29"/>
    <mergeCell ref="AI29:AL29"/>
    <mergeCell ref="D30:S30"/>
    <mergeCell ref="T30:Y30"/>
    <mergeCell ref="Z30:AC30"/>
    <mergeCell ref="AE30:AH30"/>
    <mergeCell ref="AI30:AL30"/>
    <mergeCell ref="D28:S28"/>
    <mergeCell ref="T28:Y28"/>
    <mergeCell ref="Z28:AC28"/>
    <mergeCell ref="AE28:AH28"/>
    <mergeCell ref="AI28:AL28"/>
    <mergeCell ref="AM30:AQ30"/>
    <mergeCell ref="AT30:AU30"/>
    <mergeCell ref="B30:C30"/>
    <mergeCell ref="B31:C31"/>
    <mergeCell ref="D31:S31"/>
    <mergeCell ref="T31:Y31"/>
    <mergeCell ref="Z31:AC31"/>
    <mergeCell ref="AE31:AH31"/>
    <mergeCell ref="AI31:AL31"/>
    <mergeCell ref="AO48:AU48"/>
    <mergeCell ref="K49:N49"/>
    <mergeCell ref="T49:AD49"/>
    <mergeCell ref="AO49:AU49"/>
    <mergeCell ref="AM31:AQ31"/>
    <mergeCell ref="AT31:AU31"/>
    <mergeCell ref="D32:S32"/>
    <mergeCell ref="T32:Y32"/>
    <mergeCell ref="Z32:AC32"/>
    <mergeCell ref="AE32:AH32"/>
    <mergeCell ref="AT32:AU32"/>
    <mergeCell ref="K44:N44"/>
    <mergeCell ref="K45:N45"/>
    <mergeCell ref="B49:J49"/>
    <mergeCell ref="B51:N51"/>
    <mergeCell ref="AF48:AN48"/>
    <mergeCell ref="AF49:AN49"/>
    <mergeCell ref="B48:J48"/>
    <mergeCell ref="K48:N48"/>
    <mergeCell ref="T48:AD48"/>
    <mergeCell ref="S51:AD51"/>
    <mergeCell ref="B52:G52"/>
    <mergeCell ref="I52:N52"/>
    <mergeCell ref="B53:G53"/>
    <mergeCell ref="B54:G54"/>
    <mergeCell ref="I53:N53"/>
    <mergeCell ref="I54:N54"/>
    <mergeCell ref="G60:J60"/>
    <mergeCell ref="C61:F61"/>
    <mergeCell ref="G61:J61"/>
    <mergeCell ref="B55:G55"/>
    <mergeCell ref="I55:N55"/>
    <mergeCell ref="B56:G56"/>
    <mergeCell ref="I56:N56"/>
    <mergeCell ref="I57:N57"/>
    <mergeCell ref="B57:G57"/>
    <mergeCell ref="B59:J59"/>
    <mergeCell ref="B60:F60"/>
    <mergeCell ref="G62:J62"/>
    <mergeCell ref="C66:F66"/>
    <mergeCell ref="G66:J66"/>
    <mergeCell ref="C67:F67"/>
    <mergeCell ref="G67:J67"/>
    <mergeCell ref="C68:F68"/>
    <mergeCell ref="G68:J68"/>
    <mergeCell ref="C62:F62"/>
    <mergeCell ref="C63:F63"/>
    <mergeCell ref="G63:J63"/>
    <mergeCell ref="C64:F64"/>
    <mergeCell ref="G64:J64"/>
    <mergeCell ref="C65:F65"/>
    <mergeCell ref="G65:J65"/>
    <mergeCell ref="D24:S24"/>
    <mergeCell ref="T24:Y24"/>
    <mergeCell ref="Z24:AC24"/>
    <mergeCell ref="AE24:AH24"/>
    <mergeCell ref="AI24:AL24"/>
    <mergeCell ref="AM24:AQ24"/>
    <mergeCell ref="AT24:AU24"/>
    <mergeCell ref="B24:C24"/>
    <mergeCell ref="B25:C25"/>
    <mergeCell ref="D25:S25"/>
    <mergeCell ref="T25:Y25"/>
    <mergeCell ref="Z25:AC25"/>
    <mergeCell ref="AE25:AH25"/>
    <mergeCell ref="AI25:AL25"/>
    <mergeCell ref="AM25:AQ25"/>
    <mergeCell ref="AT25:AU25"/>
    <mergeCell ref="B26:C26"/>
    <mergeCell ref="B27:C27"/>
    <mergeCell ref="D27:S27"/>
    <mergeCell ref="T27:Y27"/>
    <mergeCell ref="Z27:AC27"/>
    <mergeCell ref="AE27:AH27"/>
    <mergeCell ref="AI27:AL27"/>
    <mergeCell ref="AM29:AQ29"/>
    <mergeCell ref="AT29:AU29"/>
    <mergeCell ref="AM28:AQ28"/>
    <mergeCell ref="AT28:AU28"/>
    <mergeCell ref="D26:S26"/>
    <mergeCell ref="T26:Y26"/>
    <mergeCell ref="Z26:AC26"/>
    <mergeCell ref="AE26:AH26"/>
    <mergeCell ref="AI26:AL26"/>
    <mergeCell ref="AM26:AQ26"/>
    <mergeCell ref="AT26:AU26"/>
    <mergeCell ref="AM27:AQ27"/>
    <mergeCell ref="AT27:AU27"/>
    <mergeCell ref="B28:C28"/>
    <mergeCell ref="B29:C29"/>
    <mergeCell ref="D29:S29"/>
    <mergeCell ref="T29:Y29"/>
    <mergeCell ref="AI60:AU60"/>
    <mergeCell ref="AI61:AU61"/>
    <mergeCell ref="S52:AD52"/>
    <mergeCell ref="S53:AD53"/>
    <mergeCell ref="AJ53:AQ53"/>
    <mergeCell ref="AJ54:AQ54"/>
    <mergeCell ref="AI56:AU56"/>
    <mergeCell ref="AI57:AU57"/>
    <mergeCell ref="AI59:AU59"/>
    <mergeCell ref="S54:AD54"/>
    <mergeCell ref="S56:AD56"/>
    <mergeCell ref="S57:Z57"/>
    <mergeCell ref="AA57:AC57"/>
    <mergeCell ref="S59:AD59"/>
    <mergeCell ref="S60:AD60"/>
    <mergeCell ref="S61:AD61"/>
    <mergeCell ref="AM33:AQ33"/>
    <mergeCell ref="AT33:AU33"/>
    <mergeCell ref="B32:C32"/>
    <mergeCell ref="B33:C33"/>
    <mergeCell ref="D33:S33"/>
    <mergeCell ref="T33:Y33"/>
    <mergeCell ref="Z33:AC33"/>
    <mergeCell ref="AE33:AH33"/>
    <mergeCell ref="AI33:AL33"/>
    <mergeCell ref="AI32:AL32"/>
    <mergeCell ref="AM32:AQ32"/>
    <mergeCell ref="AM35:AQ35"/>
    <mergeCell ref="AT35:AU35"/>
    <mergeCell ref="B36:S36"/>
    <mergeCell ref="T36:Y36"/>
    <mergeCell ref="Z36:AC36"/>
    <mergeCell ref="AE36:AU36"/>
    <mergeCell ref="B37:C37"/>
    <mergeCell ref="D34:S34"/>
    <mergeCell ref="T34:Y34"/>
    <mergeCell ref="Z34:AC34"/>
    <mergeCell ref="AE34:AH34"/>
    <mergeCell ref="AI34:AL34"/>
    <mergeCell ref="AM34:AQ34"/>
    <mergeCell ref="AT34:AU34"/>
    <mergeCell ref="B34:C34"/>
    <mergeCell ref="B35:C35"/>
    <mergeCell ref="D35:S35"/>
    <mergeCell ref="T35:Y35"/>
    <mergeCell ref="Z35:AC35"/>
    <mergeCell ref="AE35:AH35"/>
    <mergeCell ref="AI35:AL35"/>
    <mergeCell ref="Z37:AC37"/>
    <mergeCell ref="AE37:AH37"/>
    <mergeCell ref="AR37:AR38"/>
    <mergeCell ref="AS37:AS38"/>
    <mergeCell ref="AT37:AU38"/>
    <mergeCell ref="B38:C38"/>
    <mergeCell ref="D38:S38"/>
    <mergeCell ref="AM38:AQ38"/>
    <mergeCell ref="BE36:BJ36"/>
    <mergeCell ref="D37:S37"/>
    <mergeCell ref="T37:Y37"/>
    <mergeCell ref="AI37:AL37"/>
    <mergeCell ref="AM37:AQ37"/>
    <mergeCell ref="BE42:BJ42"/>
    <mergeCell ref="AV43:AY43"/>
    <mergeCell ref="AI39:AL39"/>
    <mergeCell ref="AM39:AQ39"/>
    <mergeCell ref="AT39:AU39"/>
    <mergeCell ref="AE38:AH38"/>
    <mergeCell ref="AI38:AL38"/>
    <mergeCell ref="B39:C39"/>
    <mergeCell ref="D39:S39"/>
    <mergeCell ref="T39:Y39"/>
    <mergeCell ref="Z39:AC39"/>
    <mergeCell ref="AE39:AH39"/>
    <mergeCell ref="T38:Y38"/>
    <mergeCell ref="Z38:AC38"/>
    <mergeCell ref="AM41:AP41"/>
    <mergeCell ref="AT41:AU41"/>
    <mergeCell ref="B42:S42"/>
    <mergeCell ref="T42:Y42"/>
    <mergeCell ref="Z42:AC42"/>
    <mergeCell ref="AE42:AU42"/>
    <mergeCell ref="B43:S43"/>
    <mergeCell ref="AE43:AU43"/>
    <mergeCell ref="T43:Y43"/>
    <mergeCell ref="Z43:AC43"/>
    <mergeCell ref="B40:C40"/>
    <mergeCell ref="B41:C41"/>
    <mergeCell ref="D41:S41"/>
    <mergeCell ref="T41:Y41"/>
    <mergeCell ref="Z41:AC41"/>
    <mergeCell ref="AE41:AH41"/>
    <mergeCell ref="AI41:AL41"/>
    <mergeCell ref="AF47:AN47"/>
    <mergeCell ref="AO47:AU47"/>
    <mergeCell ref="B45:J45"/>
    <mergeCell ref="B46:O46"/>
    <mergeCell ref="T46:AD46"/>
    <mergeCell ref="AE46:AU46"/>
    <mergeCell ref="B47:J47"/>
    <mergeCell ref="K47:N47"/>
    <mergeCell ref="T47:AD47"/>
    <mergeCell ref="D40:S40"/>
    <mergeCell ref="T40:Y40"/>
    <mergeCell ref="Z40:AC40"/>
    <mergeCell ref="AE40:AH40"/>
    <mergeCell ref="AI40:AL40"/>
    <mergeCell ref="AM40:AP40"/>
    <mergeCell ref="AT40:AU40"/>
    <mergeCell ref="B44:J44"/>
  </mergeCells>
  <hyperlinks>
    <hyperlink ref="AV3" r:id="rId1" location="gid=1187851010" xr:uid="{9CA1BE58-E5CE-4D53-8010-E5B1DBED0C27}"/>
  </hyperlinks>
  <pageMargins left="0" right="0" top="0" bottom="0" header="0" footer="0"/>
  <pageSetup paperSize="9" orientation="portrait" r:id="rId2"/>
  <colBreaks count="1" manualBreakCount="1">
    <brk id="47" man="1"/>
  </colBreaks>
  <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000-000000000000}">
          <x14:formula1>
            <xm:f>'แหล่งข้อมูล ซัพ ประเทศ ราคา '!$E$1:$E$29</xm:f>
          </x14:formula1>
          <xm:sqref>AR16:AR35 AR39:AR41</xm:sqref>
        </x14:dataValidation>
        <x14:dataValidation type="list" allowBlank="1" showErrorMessage="1" xr:uid="{00000000-0002-0000-0000-000001000000}">
          <x14:formula1>
            <xm:f>'แหล่งข้อมูล วัตถุดิบ'!$B$2:$B$447</xm:f>
          </x14:formula1>
          <xm:sqref>D16:D35 D39:D41</xm:sqref>
        </x14:dataValidation>
        <x14:dataValidation type="list" allowBlank="1" showErrorMessage="1" xr:uid="{00000000-0002-0000-0000-000002000000}">
          <x14:formula1>
            <xm:f>'แหล่งข้อมูล ซัพ ประเทศ ราคา '!$B$1:$B$5</xm:f>
          </x14:formula1>
          <xm:sqref>AJ53</xm:sqref>
        </x14:dataValidation>
        <x14:dataValidation type="list" allowBlank="1" showErrorMessage="1" xr:uid="{00000000-0002-0000-0000-000003000000}">
          <x14:formula1>
            <xm:f>'แหล่งข้อมูล ซัพ ประเทศ ราคา '!$H$1:$H$10</xm:f>
          </x14:formula1>
          <xm:sqref>AG9</xm:sqref>
        </x14:dataValidation>
        <x14:dataValidation type="list" allowBlank="1" showErrorMessage="1" xr:uid="{00000000-0002-0000-0000-000004000000}">
          <x14:formula1>
            <xm:f>'แหล่งข้อมูล ซัพ ประเทศ ราคา '!$A$1:$A$6</xm:f>
          </x14:formula1>
          <xm:sqref>U11</xm:sqref>
        </x14:dataValidation>
        <x14:dataValidation type="list" allowBlank="1" showErrorMessage="1" xr:uid="{00000000-0002-0000-0000-000005000000}">
          <x14:formula1>
            <xm:f>'แหล่งข้อมูล ซัพ ประเทศ ราคา '!$D$1:$D$43</xm:f>
          </x14:formula1>
          <xm:sqref>AQ17:AQ18 AM16:AM35 AM39:AM41 AQ40:AQ41</xm:sqref>
        </x14:dataValidation>
        <x14:dataValidation type="list" allowBlank="1" showErrorMessage="1" xr:uid="{00000000-0002-0000-0000-000006000000}">
          <x14:formula1>
            <xm:f>'แหล่งข้อมูล ซัพ ประเทศ ราคา '!$G$1</xm:f>
          </x14:formula1>
          <xm:sqref>AT16:AT35 AT39:AT41 B61:B68</xm:sqref>
        </x14:dataValidation>
        <x14:dataValidation type="list" allowBlank="1" showErrorMessage="1" xr:uid="{00000000-0002-0000-0000-000007000000}">
          <x14:formula1>
            <xm:f>'แหล่งข้อมูล ซัพ ประเทศ ราคา '!$F$1:$F$142</xm:f>
          </x14:formula1>
          <xm:sqref>AE16:AE35 AE39:AE41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"/>
  <cols>
    <col min="1" max="1" width="6.140625" customWidth="1"/>
    <col min="2" max="2" width="7.42578125" customWidth="1"/>
    <col min="3" max="3" width="9.140625" customWidth="1"/>
    <col min="4" max="4" width="14.85546875" customWidth="1"/>
    <col min="5" max="5" width="10.5703125" customWidth="1"/>
    <col min="6" max="6" width="9.85546875" customWidth="1"/>
    <col min="7" max="7" width="2.28515625" customWidth="1"/>
    <col min="8" max="8" width="15.7109375" customWidth="1"/>
    <col min="9" max="26" width="8.7109375" customWidth="1"/>
  </cols>
  <sheetData>
    <row r="1" spans="1:26" ht="18.75" customHeight="1" x14ac:dyDescent="0.45">
      <c r="A1" s="48" t="s">
        <v>85</v>
      </c>
      <c r="B1" s="48" t="s">
        <v>86</v>
      </c>
      <c r="C1" s="48"/>
      <c r="D1" s="48" t="s">
        <v>87</v>
      </c>
      <c r="E1" s="48" t="s">
        <v>88</v>
      </c>
      <c r="F1" s="49">
        <v>0</v>
      </c>
      <c r="G1" s="48" t="s">
        <v>89</v>
      </c>
      <c r="H1" s="48" t="s">
        <v>90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8.75" customHeight="1" x14ac:dyDescent="0.45">
      <c r="A2" s="48" t="s">
        <v>91</v>
      </c>
      <c r="B2" s="48" t="s">
        <v>92</v>
      </c>
      <c r="C2" s="48"/>
      <c r="D2" s="48" t="s">
        <v>93</v>
      </c>
      <c r="E2" s="48" t="s">
        <v>94</v>
      </c>
      <c r="F2" s="49">
        <v>30</v>
      </c>
      <c r="G2" s="48"/>
      <c r="H2" s="48" t="s">
        <v>95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8.75" customHeight="1" x14ac:dyDescent="0.45">
      <c r="A3" s="48" t="s">
        <v>96</v>
      </c>
      <c r="B3" s="48" t="s">
        <v>54</v>
      </c>
      <c r="C3" s="48"/>
      <c r="D3" s="48" t="s">
        <v>97</v>
      </c>
      <c r="E3" s="48" t="s">
        <v>98</v>
      </c>
      <c r="F3" s="49">
        <v>90</v>
      </c>
      <c r="G3" s="48"/>
      <c r="H3" s="48" t="s">
        <v>99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8.75" customHeight="1" x14ac:dyDescent="0.45">
      <c r="A4" s="48" t="s">
        <v>100</v>
      </c>
      <c r="B4" s="48" t="s">
        <v>101</v>
      </c>
      <c r="C4" s="48"/>
      <c r="D4" s="48" t="s">
        <v>102</v>
      </c>
      <c r="E4" s="48" t="s">
        <v>103</v>
      </c>
      <c r="F4" s="49">
        <v>90</v>
      </c>
      <c r="G4" s="48"/>
      <c r="H4" s="48" t="s">
        <v>104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8.75" customHeight="1" x14ac:dyDescent="0.45">
      <c r="A5" s="48" t="s">
        <v>105</v>
      </c>
      <c r="B5" s="48" t="s">
        <v>106</v>
      </c>
      <c r="C5" s="48"/>
      <c r="D5" s="48" t="s">
        <v>107</v>
      </c>
      <c r="E5" s="48" t="s">
        <v>108</v>
      </c>
      <c r="F5" s="49">
        <v>100</v>
      </c>
      <c r="G5" s="48"/>
      <c r="H5" s="48" t="s">
        <v>109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8.75" customHeight="1" x14ac:dyDescent="0.45">
      <c r="A6" s="48"/>
      <c r="B6" s="48"/>
      <c r="C6" s="48"/>
      <c r="D6" s="48" t="s">
        <v>110</v>
      </c>
      <c r="E6" s="48" t="s">
        <v>111</v>
      </c>
      <c r="F6" s="49">
        <v>135</v>
      </c>
      <c r="G6" s="48"/>
      <c r="H6" s="48" t="s">
        <v>112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8.75" customHeight="1" x14ac:dyDescent="0.45">
      <c r="A7" s="48"/>
      <c r="B7" s="48"/>
      <c r="C7" s="48"/>
      <c r="D7" s="48" t="s">
        <v>113</v>
      </c>
      <c r="E7" s="48" t="s">
        <v>114</v>
      </c>
      <c r="F7" s="49">
        <v>160</v>
      </c>
      <c r="G7" s="48"/>
      <c r="H7" s="48" t="s">
        <v>115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8.75" customHeight="1" x14ac:dyDescent="0.45">
      <c r="A8" s="48"/>
      <c r="B8" s="48"/>
      <c r="C8" s="48"/>
      <c r="D8" s="48" t="s">
        <v>116</v>
      </c>
      <c r="E8" s="48" t="s">
        <v>117</v>
      </c>
      <c r="F8" s="49">
        <v>165</v>
      </c>
      <c r="G8" s="48"/>
      <c r="H8" s="48" t="s">
        <v>118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8.75" customHeight="1" x14ac:dyDescent="0.45">
      <c r="A9" s="48"/>
      <c r="B9" s="48"/>
      <c r="C9" s="48"/>
      <c r="D9" s="48" t="s">
        <v>119</v>
      </c>
      <c r="E9" s="48" t="s">
        <v>120</v>
      </c>
      <c r="F9" s="50">
        <v>190</v>
      </c>
      <c r="G9" s="48"/>
      <c r="H9" s="48" t="s">
        <v>121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8.75" customHeight="1" x14ac:dyDescent="0.45">
      <c r="A10" s="48"/>
      <c r="B10" s="48"/>
      <c r="C10" s="48"/>
      <c r="D10" s="48" t="s">
        <v>122</v>
      </c>
      <c r="E10" s="48" t="s">
        <v>123</v>
      </c>
      <c r="F10" s="50">
        <v>180</v>
      </c>
      <c r="G10" s="48"/>
      <c r="H10" s="48" t="s">
        <v>124</v>
      </c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8.75" customHeight="1" x14ac:dyDescent="0.45">
      <c r="A11" s="48"/>
      <c r="B11" s="48"/>
      <c r="C11" s="48"/>
      <c r="D11" s="48" t="s">
        <v>125</v>
      </c>
      <c r="E11" s="48" t="s">
        <v>126</v>
      </c>
      <c r="F11" s="50">
        <v>200</v>
      </c>
      <c r="G11" s="48"/>
      <c r="H11" s="48" t="s">
        <v>127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8.75" customHeight="1" x14ac:dyDescent="0.45">
      <c r="A12" s="48"/>
      <c r="B12" s="48"/>
      <c r="C12" s="48"/>
      <c r="D12" s="48" t="s">
        <v>128</v>
      </c>
      <c r="E12" s="48" t="s">
        <v>129</v>
      </c>
      <c r="F12" s="49">
        <v>250</v>
      </c>
      <c r="G12" s="48"/>
      <c r="H12" s="51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8.75" customHeight="1" x14ac:dyDescent="0.45">
      <c r="A13" s="48"/>
      <c r="B13" s="48"/>
      <c r="C13" s="48"/>
      <c r="D13" s="48" t="s">
        <v>130</v>
      </c>
      <c r="E13" s="48" t="s">
        <v>131</v>
      </c>
      <c r="F13" s="49">
        <v>260</v>
      </c>
      <c r="G13" s="48"/>
      <c r="H13" s="51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8.75" customHeight="1" x14ac:dyDescent="0.45">
      <c r="A14" s="48"/>
      <c r="B14" s="48"/>
      <c r="C14" s="48"/>
      <c r="D14" s="48" t="s">
        <v>132</v>
      </c>
      <c r="E14" s="48" t="s">
        <v>133</v>
      </c>
      <c r="F14" s="49">
        <v>275</v>
      </c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8.75" customHeight="1" x14ac:dyDescent="0.45">
      <c r="A15" s="48"/>
      <c r="B15" s="48"/>
      <c r="C15" s="48"/>
      <c r="D15" s="48" t="s">
        <v>134</v>
      </c>
      <c r="E15" s="48" t="s">
        <v>135</v>
      </c>
      <c r="F15" s="49">
        <v>300</v>
      </c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8.75" customHeight="1" x14ac:dyDescent="0.45">
      <c r="A16" s="48"/>
      <c r="B16" s="48"/>
      <c r="C16" s="48"/>
      <c r="D16" s="48" t="s">
        <v>136</v>
      </c>
      <c r="E16" s="48" t="s">
        <v>137</v>
      </c>
      <c r="F16" s="49">
        <v>330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8.75" customHeight="1" x14ac:dyDescent="0.45">
      <c r="A17" s="48"/>
      <c r="B17" s="48"/>
      <c r="C17" s="48"/>
      <c r="D17" s="48" t="s">
        <v>138</v>
      </c>
      <c r="E17" s="48" t="s">
        <v>139</v>
      </c>
      <c r="F17" s="49">
        <v>350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8.75" customHeight="1" x14ac:dyDescent="0.45">
      <c r="A18" s="48"/>
      <c r="B18" s="48"/>
      <c r="C18" s="48"/>
      <c r="D18" s="48" t="s">
        <v>140</v>
      </c>
      <c r="E18" s="48" t="s">
        <v>141</v>
      </c>
      <c r="F18" s="49">
        <v>390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8.75" customHeight="1" x14ac:dyDescent="0.45">
      <c r="A19" s="48"/>
      <c r="B19" s="48"/>
      <c r="C19" s="48"/>
      <c r="D19" s="48" t="s">
        <v>142</v>
      </c>
      <c r="E19" s="48" t="s">
        <v>143</v>
      </c>
      <c r="F19" s="50">
        <v>450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8.75" customHeight="1" x14ac:dyDescent="0.45">
      <c r="A20" s="48"/>
      <c r="B20" s="48"/>
      <c r="C20" s="48"/>
      <c r="D20" s="48" t="s">
        <v>144</v>
      </c>
      <c r="E20" s="48" t="s">
        <v>145</v>
      </c>
      <c r="F20" s="49">
        <v>475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8.75" customHeight="1" x14ac:dyDescent="0.45">
      <c r="A21" s="48"/>
      <c r="B21" s="48"/>
      <c r="C21" s="48"/>
      <c r="D21" s="48" t="s">
        <v>146</v>
      </c>
      <c r="E21" s="48" t="s">
        <v>147</v>
      </c>
      <c r="F21" s="49">
        <v>500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8.75" customHeight="1" x14ac:dyDescent="0.45">
      <c r="A22" s="48"/>
      <c r="B22" s="48"/>
      <c r="C22" s="48"/>
      <c r="D22" s="48" t="s">
        <v>148</v>
      </c>
      <c r="E22" s="48" t="s">
        <v>149</v>
      </c>
      <c r="F22" s="49">
        <v>550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8.75" customHeight="1" x14ac:dyDescent="0.45">
      <c r="A23" s="48"/>
      <c r="B23" s="48"/>
      <c r="C23" s="48"/>
      <c r="D23" s="48" t="s">
        <v>150</v>
      </c>
      <c r="E23" s="48" t="s">
        <v>151</v>
      </c>
      <c r="F23" s="49">
        <v>580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8.75" customHeight="1" x14ac:dyDescent="0.45">
      <c r="A24" s="48"/>
      <c r="B24" s="48"/>
      <c r="C24" s="48"/>
      <c r="D24" s="48" t="s">
        <v>152</v>
      </c>
      <c r="E24" s="48" t="s">
        <v>153</v>
      </c>
      <c r="F24" s="49">
        <v>600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8.75" customHeight="1" x14ac:dyDescent="0.45">
      <c r="A25" s="48"/>
      <c r="B25" s="48"/>
      <c r="C25" s="48"/>
      <c r="D25" s="48" t="s">
        <v>154</v>
      </c>
      <c r="E25" s="48" t="s">
        <v>155</v>
      </c>
      <c r="F25" s="50">
        <v>690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8.75" customHeight="1" x14ac:dyDescent="0.45">
      <c r="A26" s="48"/>
      <c r="B26" s="48"/>
      <c r="C26" s="48"/>
      <c r="D26" s="48" t="s">
        <v>156</v>
      </c>
      <c r="E26" s="48" t="s">
        <v>157</v>
      </c>
      <c r="F26" s="49">
        <v>700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8.75" customHeight="1" x14ac:dyDescent="0.45">
      <c r="A27" s="48"/>
      <c r="B27" s="48"/>
      <c r="C27" s="48"/>
      <c r="D27" s="48" t="s">
        <v>158</v>
      </c>
      <c r="E27" s="48" t="s">
        <v>159</v>
      </c>
      <c r="F27" s="49">
        <v>750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8.75" customHeight="1" x14ac:dyDescent="0.45">
      <c r="A28" s="48"/>
      <c r="B28" s="48"/>
      <c r="C28" s="48"/>
      <c r="D28" s="48" t="s">
        <v>160</v>
      </c>
      <c r="E28" s="48" t="s">
        <v>161</v>
      </c>
      <c r="F28" s="49">
        <v>780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8.75" customHeight="1" x14ac:dyDescent="0.45">
      <c r="A29" s="48"/>
      <c r="B29" s="48"/>
      <c r="C29" s="48"/>
      <c r="D29" s="48" t="s">
        <v>162</v>
      </c>
      <c r="E29" s="48" t="s">
        <v>163</v>
      </c>
      <c r="F29" s="50">
        <v>790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8.75" customHeight="1" x14ac:dyDescent="0.45">
      <c r="A30" s="48"/>
      <c r="B30" s="48"/>
      <c r="C30" s="48"/>
      <c r="D30" s="48" t="s">
        <v>164</v>
      </c>
      <c r="E30" s="48"/>
      <c r="F30" s="49">
        <v>800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8.75" customHeight="1" x14ac:dyDescent="0.45">
      <c r="A31" s="48"/>
      <c r="B31" s="48"/>
      <c r="C31" s="48"/>
      <c r="D31" s="48" t="s">
        <v>165</v>
      </c>
      <c r="E31" s="48"/>
      <c r="F31" s="49">
        <v>850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8.75" customHeight="1" x14ac:dyDescent="0.45">
      <c r="A32" s="48"/>
      <c r="B32" s="48"/>
      <c r="C32" s="48"/>
      <c r="D32" s="48" t="s">
        <v>166</v>
      </c>
      <c r="E32" s="48"/>
      <c r="F32" s="49">
        <v>860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8.75" customHeight="1" x14ac:dyDescent="0.45">
      <c r="A33" s="48"/>
      <c r="B33" s="48"/>
      <c r="C33" s="48"/>
      <c r="D33" s="48" t="s">
        <v>167</v>
      </c>
      <c r="E33" s="48"/>
      <c r="F33" s="49">
        <v>900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8.75" customHeight="1" x14ac:dyDescent="0.45">
      <c r="A34" s="48"/>
      <c r="B34" s="48"/>
      <c r="C34" s="48"/>
      <c r="D34" s="48" t="s">
        <v>168</v>
      </c>
      <c r="E34" s="48"/>
      <c r="F34" s="50">
        <v>950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8.75" customHeight="1" x14ac:dyDescent="0.45">
      <c r="A35" s="48"/>
      <c r="B35" s="48"/>
      <c r="C35" s="48"/>
      <c r="D35" s="48" t="s">
        <v>169</v>
      </c>
      <c r="E35" s="48"/>
      <c r="F35" s="49">
        <v>990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8.75" customHeight="1" x14ac:dyDescent="0.45">
      <c r="A36" s="48"/>
      <c r="B36" s="48"/>
      <c r="C36" s="48"/>
      <c r="D36" s="48" t="s">
        <v>170</v>
      </c>
      <c r="E36" s="48"/>
      <c r="F36" s="49">
        <v>1000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8.75" customHeight="1" x14ac:dyDescent="0.45">
      <c r="A37" s="48"/>
      <c r="B37" s="48"/>
      <c r="C37" s="48"/>
      <c r="D37" s="48" t="s">
        <v>171</v>
      </c>
      <c r="E37" s="48"/>
      <c r="F37" s="49">
        <v>1150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8.75" customHeight="1" x14ac:dyDescent="0.45">
      <c r="A38" s="48"/>
      <c r="B38" s="48"/>
      <c r="C38" s="48"/>
      <c r="D38" s="48" t="s">
        <v>172</v>
      </c>
      <c r="E38" s="48"/>
      <c r="F38" s="49">
        <v>1180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8.75" customHeight="1" x14ac:dyDescent="0.45">
      <c r="A39" s="48"/>
      <c r="B39" s="48"/>
      <c r="C39" s="48"/>
      <c r="D39" s="48" t="s">
        <v>173</v>
      </c>
      <c r="E39" s="48"/>
      <c r="F39" s="49">
        <v>1200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8.75" customHeight="1" x14ac:dyDescent="0.45">
      <c r="A40" s="48"/>
      <c r="B40" s="48"/>
      <c r="C40" s="48"/>
      <c r="D40" s="48" t="s">
        <v>174</v>
      </c>
      <c r="E40" s="48"/>
      <c r="F40" s="50">
        <v>1250</v>
      </c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8.75" customHeight="1" x14ac:dyDescent="0.45">
      <c r="A41" s="48"/>
      <c r="B41" s="48"/>
      <c r="C41" s="48"/>
      <c r="D41" s="48" t="s">
        <v>175</v>
      </c>
      <c r="E41" s="48"/>
      <c r="F41" s="50">
        <v>1300</v>
      </c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8.75" customHeight="1" x14ac:dyDescent="0.45">
      <c r="A42" s="48"/>
      <c r="B42" s="48"/>
      <c r="C42" s="48"/>
      <c r="D42" s="48" t="s">
        <v>176</v>
      </c>
      <c r="E42" s="48"/>
      <c r="F42" s="50">
        <v>1400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8.75" customHeight="1" x14ac:dyDescent="0.45">
      <c r="A43" s="48"/>
      <c r="B43" s="48"/>
      <c r="C43" s="48"/>
      <c r="D43" s="48" t="s">
        <v>177</v>
      </c>
      <c r="E43" s="48"/>
      <c r="F43" s="49">
        <v>1400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8.75" customHeight="1" x14ac:dyDescent="0.45">
      <c r="A44" s="48"/>
      <c r="B44" s="48"/>
      <c r="C44" s="48"/>
      <c r="D44" s="48"/>
      <c r="E44" s="48"/>
      <c r="F44" s="50">
        <v>1450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8.75" customHeight="1" x14ac:dyDescent="0.45">
      <c r="A45" s="48"/>
      <c r="B45" s="48"/>
      <c r="C45" s="48"/>
      <c r="D45" s="48"/>
      <c r="E45" s="48"/>
      <c r="F45" s="49">
        <v>1485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8.75" customHeight="1" x14ac:dyDescent="0.45">
      <c r="A46" s="48"/>
      <c r="B46" s="48"/>
      <c r="C46" s="48"/>
      <c r="D46" s="48"/>
      <c r="E46" s="48"/>
      <c r="F46" s="49">
        <v>1500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8.75" customHeight="1" x14ac:dyDescent="0.45">
      <c r="A47" s="48"/>
      <c r="B47" s="48"/>
      <c r="C47" s="48"/>
      <c r="D47" s="48"/>
      <c r="E47" s="48"/>
      <c r="F47" s="49">
        <v>1550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8.75" customHeight="1" x14ac:dyDescent="0.45">
      <c r="A48" s="48"/>
      <c r="B48" s="48"/>
      <c r="C48" s="48"/>
      <c r="D48" s="48"/>
      <c r="E48" s="48"/>
      <c r="F48" s="49">
        <v>1565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8.75" customHeight="1" x14ac:dyDescent="0.45">
      <c r="A49" s="48"/>
      <c r="B49" s="48"/>
      <c r="C49" s="48"/>
      <c r="D49" s="48"/>
      <c r="E49" s="48"/>
      <c r="F49" s="49">
        <v>1600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8.75" customHeight="1" x14ac:dyDescent="0.45">
      <c r="A50" s="48"/>
      <c r="B50" s="48"/>
      <c r="C50" s="48"/>
      <c r="D50" s="48"/>
      <c r="E50" s="48"/>
      <c r="F50" s="49">
        <v>1625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8.75" customHeight="1" x14ac:dyDescent="0.45">
      <c r="A51" s="48"/>
      <c r="B51" s="48"/>
      <c r="C51" s="48"/>
      <c r="D51" s="48"/>
      <c r="E51" s="48"/>
      <c r="F51" s="49">
        <v>1675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8.75" customHeight="1" x14ac:dyDescent="0.45">
      <c r="A52" s="48"/>
      <c r="B52" s="48"/>
      <c r="C52" s="48"/>
      <c r="D52" s="48"/>
      <c r="E52" s="48"/>
      <c r="F52" s="50">
        <v>1700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8.75" customHeight="1" x14ac:dyDescent="0.45">
      <c r="A53" s="48"/>
      <c r="B53" s="48"/>
      <c r="C53" s="48"/>
      <c r="D53" s="48"/>
      <c r="E53" s="48"/>
      <c r="F53" s="50">
        <v>1750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8.75" customHeight="1" x14ac:dyDescent="0.45">
      <c r="A54" s="48"/>
      <c r="B54" s="48"/>
      <c r="C54" s="48"/>
      <c r="D54" s="48"/>
      <c r="E54" s="48"/>
      <c r="F54" s="49">
        <v>1780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8.75" customHeight="1" x14ac:dyDescent="0.45">
      <c r="A55" s="48"/>
      <c r="B55" s="48"/>
      <c r="C55" s="48"/>
      <c r="D55" s="48"/>
      <c r="E55" s="48"/>
      <c r="F55" s="49">
        <v>1800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8.75" customHeight="1" x14ac:dyDescent="0.45">
      <c r="A56" s="48"/>
      <c r="B56" s="48"/>
      <c r="C56" s="48"/>
      <c r="D56" s="48"/>
      <c r="E56" s="48"/>
      <c r="F56" s="49">
        <v>1850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8.75" customHeight="1" x14ac:dyDescent="0.45">
      <c r="A57" s="48"/>
      <c r="B57" s="48"/>
      <c r="C57" s="48"/>
      <c r="D57" s="48"/>
      <c r="E57" s="48"/>
      <c r="F57" s="49">
        <v>1865</v>
      </c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8.75" customHeight="1" x14ac:dyDescent="0.45">
      <c r="A58" s="48"/>
      <c r="B58" s="48"/>
      <c r="C58" s="48"/>
      <c r="D58" s="48"/>
      <c r="E58" s="48"/>
      <c r="F58" s="49">
        <v>1868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8.75" customHeight="1" x14ac:dyDescent="0.45">
      <c r="A59" s="48"/>
      <c r="B59" s="48"/>
      <c r="C59" s="48"/>
      <c r="D59" s="48"/>
      <c r="E59" s="48"/>
      <c r="F59" s="49">
        <v>1885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8.75" customHeight="1" x14ac:dyDescent="0.45">
      <c r="A60" s="48"/>
      <c r="B60" s="48"/>
      <c r="C60" s="48"/>
      <c r="D60" s="48"/>
      <c r="E60" s="48"/>
      <c r="F60" s="49">
        <v>1900</v>
      </c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8.75" customHeight="1" x14ac:dyDescent="0.45">
      <c r="A61" s="48"/>
      <c r="B61" s="48"/>
      <c r="C61" s="48"/>
      <c r="D61" s="48"/>
      <c r="E61" s="48"/>
      <c r="F61" s="49">
        <v>1925</v>
      </c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8.75" customHeight="1" x14ac:dyDescent="0.45">
      <c r="A62" s="48"/>
      <c r="B62" s="48"/>
      <c r="C62" s="48"/>
      <c r="D62" s="48"/>
      <c r="E62" s="48"/>
      <c r="F62" s="49">
        <v>1950</v>
      </c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8.75" customHeight="1" x14ac:dyDescent="0.45">
      <c r="A63" s="48"/>
      <c r="B63" s="48"/>
      <c r="C63" s="48"/>
      <c r="D63" s="48"/>
      <c r="E63" s="48"/>
      <c r="F63" s="49">
        <v>2000</v>
      </c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8.75" customHeight="1" x14ac:dyDescent="0.45">
      <c r="A64" s="48"/>
      <c r="B64" s="48"/>
      <c r="C64" s="48"/>
      <c r="D64" s="48"/>
      <c r="E64" s="48"/>
      <c r="F64" s="50">
        <v>2100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8.75" customHeight="1" x14ac:dyDescent="0.45">
      <c r="A65" s="48"/>
      <c r="B65" s="48"/>
      <c r="C65" s="48"/>
      <c r="D65" s="48"/>
      <c r="E65" s="48"/>
      <c r="F65" s="49">
        <v>2200</v>
      </c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8.75" customHeight="1" x14ac:dyDescent="0.45">
      <c r="A66" s="48"/>
      <c r="B66" s="48"/>
      <c r="C66" s="48"/>
      <c r="D66" s="48"/>
      <c r="E66" s="48"/>
      <c r="F66" s="49">
        <v>2250</v>
      </c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8.75" customHeight="1" x14ac:dyDescent="0.45">
      <c r="A67" s="48"/>
      <c r="B67" s="48"/>
      <c r="C67" s="48"/>
      <c r="D67" s="48"/>
      <c r="E67" s="48"/>
      <c r="F67" s="49">
        <v>2300</v>
      </c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8.75" customHeight="1" x14ac:dyDescent="0.45">
      <c r="A68" s="48"/>
      <c r="B68" s="48"/>
      <c r="C68" s="48"/>
      <c r="D68" s="48"/>
      <c r="E68" s="48"/>
      <c r="F68" s="49">
        <v>2400</v>
      </c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8.75" customHeight="1" x14ac:dyDescent="0.45">
      <c r="A69" s="48"/>
      <c r="B69" s="48"/>
      <c r="C69" s="48"/>
      <c r="D69" s="48"/>
      <c r="E69" s="48"/>
      <c r="F69" s="49">
        <v>2500</v>
      </c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8.75" customHeight="1" x14ac:dyDescent="0.45">
      <c r="A70" s="48"/>
      <c r="B70" s="48"/>
      <c r="C70" s="48"/>
      <c r="D70" s="48"/>
      <c r="E70" s="48"/>
      <c r="F70" s="49">
        <v>2600</v>
      </c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8.75" customHeight="1" x14ac:dyDescent="0.45">
      <c r="A71" s="48"/>
      <c r="B71" s="48"/>
      <c r="C71" s="48"/>
      <c r="D71" s="48"/>
      <c r="E71" s="48"/>
      <c r="F71" s="50">
        <v>2700</v>
      </c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8.75" customHeight="1" x14ac:dyDescent="0.45">
      <c r="A72" s="48"/>
      <c r="B72" s="48"/>
      <c r="C72" s="48"/>
      <c r="D72" s="48"/>
      <c r="E72" s="48"/>
      <c r="F72" s="50">
        <v>2800</v>
      </c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8.75" customHeight="1" x14ac:dyDescent="0.45">
      <c r="A73" s="48"/>
      <c r="B73" s="48"/>
      <c r="C73" s="48"/>
      <c r="D73" s="48"/>
      <c r="E73" s="48"/>
      <c r="F73" s="49">
        <v>3000</v>
      </c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8.75" customHeight="1" x14ac:dyDescent="0.45">
      <c r="A74" s="48"/>
      <c r="B74" s="48"/>
      <c r="C74" s="48"/>
      <c r="D74" s="48"/>
      <c r="E74" s="48"/>
      <c r="F74" s="49">
        <v>3100</v>
      </c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8.75" customHeight="1" x14ac:dyDescent="0.45">
      <c r="A75" s="48"/>
      <c r="B75" s="48"/>
      <c r="C75" s="48"/>
      <c r="D75" s="48"/>
      <c r="E75" s="48"/>
      <c r="F75" s="49">
        <v>3200</v>
      </c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8.75" customHeight="1" x14ac:dyDescent="0.45">
      <c r="A76" s="48"/>
      <c r="B76" s="48"/>
      <c r="C76" s="48"/>
      <c r="D76" s="48"/>
      <c r="E76" s="48"/>
      <c r="F76" s="49">
        <v>3300</v>
      </c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8.75" customHeight="1" x14ac:dyDescent="0.45">
      <c r="A77" s="48"/>
      <c r="B77" s="48"/>
      <c r="C77" s="48"/>
      <c r="D77" s="48"/>
      <c r="E77" s="48"/>
      <c r="F77" s="49">
        <v>3500</v>
      </c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8.75" customHeight="1" x14ac:dyDescent="0.45">
      <c r="A78" s="48"/>
      <c r="B78" s="48"/>
      <c r="C78" s="48"/>
      <c r="D78" s="48"/>
      <c r="E78" s="48"/>
      <c r="F78" s="50">
        <v>3600</v>
      </c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8.75" customHeight="1" x14ac:dyDescent="0.45">
      <c r="A79" s="48"/>
      <c r="B79" s="48"/>
      <c r="C79" s="48"/>
      <c r="D79" s="48"/>
      <c r="E79" s="48"/>
      <c r="F79" s="50">
        <v>3800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8.75" customHeight="1" x14ac:dyDescent="0.45">
      <c r="A80" s="48"/>
      <c r="B80" s="48"/>
      <c r="C80" s="48"/>
      <c r="D80" s="48"/>
      <c r="E80" s="48"/>
      <c r="F80" s="49">
        <v>3900</v>
      </c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8.75" customHeight="1" x14ac:dyDescent="0.45">
      <c r="A81" s="48"/>
      <c r="B81" s="48"/>
      <c r="C81" s="48"/>
      <c r="D81" s="48"/>
      <c r="E81" s="48"/>
      <c r="F81" s="49">
        <v>4000</v>
      </c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8.75" customHeight="1" x14ac:dyDescent="0.45">
      <c r="A82" s="48"/>
      <c r="B82" s="48"/>
      <c r="C82" s="48"/>
      <c r="D82" s="48"/>
      <c r="E82" s="48"/>
      <c r="F82" s="49">
        <v>4200</v>
      </c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8.75" customHeight="1" x14ac:dyDescent="0.45">
      <c r="A83" s="48"/>
      <c r="B83" s="48"/>
      <c r="C83" s="48"/>
      <c r="D83" s="48"/>
      <c r="E83" s="48"/>
      <c r="F83" s="49">
        <v>4300</v>
      </c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8.75" customHeight="1" x14ac:dyDescent="0.45">
      <c r="A84" s="48"/>
      <c r="B84" s="48"/>
      <c r="C84" s="48"/>
      <c r="D84" s="48"/>
      <c r="E84" s="48"/>
      <c r="F84" s="49">
        <v>4500</v>
      </c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8.75" customHeight="1" x14ac:dyDescent="0.45">
      <c r="A85" s="48"/>
      <c r="B85" s="48"/>
      <c r="C85" s="48"/>
      <c r="D85" s="48"/>
      <c r="E85" s="48"/>
      <c r="F85" s="50">
        <v>4600</v>
      </c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8.75" customHeight="1" x14ac:dyDescent="0.45">
      <c r="A86" s="48"/>
      <c r="B86" s="48"/>
      <c r="C86" s="48"/>
      <c r="D86" s="48"/>
      <c r="E86" s="48"/>
      <c r="F86" s="50">
        <v>4700</v>
      </c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8.75" customHeight="1" x14ac:dyDescent="0.45">
      <c r="A87" s="48"/>
      <c r="B87" s="48"/>
      <c r="C87" s="48"/>
      <c r="D87" s="48"/>
      <c r="E87" s="48"/>
      <c r="F87" s="50">
        <v>4800</v>
      </c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8.75" customHeight="1" x14ac:dyDescent="0.45">
      <c r="A88" s="48"/>
      <c r="B88" s="48"/>
      <c r="C88" s="48"/>
      <c r="D88" s="48"/>
      <c r="E88" s="48"/>
      <c r="F88" s="50">
        <v>4900</v>
      </c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8.75" customHeight="1" x14ac:dyDescent="0.45">
      <c r="A89" s="48"/>
      <c r="B89" s="48"/>
      <c r="C89" s="48"/>
      <c r="D89" s="48"/>
      <c r="E89" s="48"/>
      <c r="F89" s="49">
        <v>5000</v>
      </c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8.75" customHeight="1" x14ac:dyDescent="0.45">
      <c r="A90" s="48"/>
      <c r="B90" s="48"/>
      <c r="C90" s="48"/>
      <c r="D90" s="48"/>
      <c r="E90" s="48"/>
      <c r="F90" s="50">
        <v>5300</v>
      </c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8.75" customHeight="1" x14ac:dyDescent="0.45">
      <c r="A91" s="48"/>
      <c r="B91" s="48"/>
      <c r="C91" s="48"/>
      <c r="D91" s="48"/>
      <c r="E91" s="48"/>
      <c r="F91" s="49">
        <v>5500</v>
      </c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8.75" customHeight="1" x14ac:dyDescent="0.45">
      <c r="A92" s="48"/>
      <c r="B92" s="48"/>
      <c r="C92" s="48"/>
      <c r="D92" s="48"/>
      <c r="E92" s="48"/>
      <c r="F92" s="50">
        <v>5600</v>
      </c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8.75" customHeight="1" x14ac:dyDescent="0.45">
      <c r="A93" s="48"/>
      <c r="B93" s="48"/>
      <c r="C93" s="48"/>
      <c r="D93" s="48"/>
      <c r="E93" s="48"/>
      <c r="F93" s="50">
        <v>5800</v>
      </c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8.75" customHeight="1" x14ac:dyDescent="0.45">
      <c r="A94" s="48"/>
      <c r="B94" s="48"/>
      <c r="C94" s="48"/>
      <c r="D94" s="48"/>
      <c r="E94" s="48"/>
      <c r="F94" s="49">
        <v>5900</v>
      </c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8.75" customHeight="1" x14ac:dyDescent="0.45">
      <c r="A95" s="48"/>
      <c r="B95" s="48"/>
      <c r="C95" s="48"/>
      <c r="D95" s="48"/>
      <c r="E95" s="48"/>
      <c r="F95" s="50">
        <v>6000</v>
      </c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8.75" customHeight="1" x14ac:dyDescent="0.45">
      <c r="A96" s="48"/>
      <c r="B96" s="48"/>
      <c r="C96" s="48"/>
      <c r="D96" s="48"/>
      <c r="E96" s="48"/>
      <c r="F96" s="49">
        <v>6100</v>
      </c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8.75" customHeight="1" x14ac:dyDescent="0.45">
      <c r="A97" s="48"/>
      <c r="B97" s="48"/>
      <c r="C97" s="48"/>
      <c r="D97" s="48"/>
      <c r="E97" s="48"/>
      <c r="F97" s="50">
        <v>6300</v>
      </c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8.75" customHeight="1" x14ac:dyDescent="0.45">
      <c r="A98" s="48"/>
      <c r="B98" s="48"/>
      <c r="C98" s="48"/>
      <c r="D98" s="48"/>
      <c r="E98" s="48"/>
      <c r="F98" s="49">
        <v>6500</v>
      </c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8.75" customHeight="1" x14ac:dyDescent="0.45">
      <c r="A99" s="48"/>
      <c r="B99" s="48"/>
      <c r="C99" s="48"/>
      <c r="D99" s="48"/>
      <c r="E99" s="48"/>
      <c r="F99" s="49">
        <v>6800</v>
      </c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8.75" customHeight="1" x14ac:dyDescent="0.45">
      <c r="A100" s="48"/>
      <c r="B100" s="48"/>
      <c r="C100" s="48"/>
      <c r="D100" s="48"/>
      <c r="E100" s="48"/>
      <c r="F100" s="49">
        <v>7100</v>
      </c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8.75" customHeight="1" x14ac:dyDescent="0.45">
      <c r="A101" s="48"/>
      <c r="B101" s="48"/>
      <c r="C101" s="48"/>
      <c r="D101" s="48"/>
      <c r="E101" s="48"/>
      <c r="F101" s="50">
        <v>7900</v>
      </c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8.75" customHeight="1" x14ac:dyDescent="0.45">
      <c r="A102" s="48"/>
      <c r="B102" s="48"/>
      <c r="C102" s="48"/>
      <c r="D102" s="48"/>
      <c r="E102" s="48"/>
      <c r="F102" s="50">
        <v>8000</v>
      </c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8.75" customHeight="1" x14ac:dyDescent="0.45">
      <c r="A103" s="48"/>
      <c r="B103" s="48"/>
      <c r="C103" s="48"/>
      <c r="D103" s="48"/>
      <c r="E103" s="48"/>
      <c r="F103" s="50">
        <v>8200</v>
      </c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8.75" customHeight="1" x14ac:dyDescent="0.45">
      <c r="A104" s="48"/>
      <c r="B104" s="48"/>
      <c r="C104" s="48"/>
      <c r="D104" s="48"/>
      <c r="E104" s="48"/>
      <c r="F104" s="50">
        <v>8500</v>
      </c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8.75" customHeight="1" x14ac:dyDescent="0.45">
      <c r="A105" s="48"/>
      <c r="B105" s="48"/>
      <c r="C105" s="48"/>
      <c r="D105" s="48"/>
      <c r="E105" s="48"/>
      <c r="F105" s="50">
        <v>8700</v>
      </c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8.75" customHeight="1" x14ac:dyDescent="0.45">
      <c r="A106" s="48"/>
      <c r="B106" s="48"/>
      <c r="C106" s="48"/>
      <c r="D106" s="48"/>
      <c r="E106" s="48"/>
      <c r="F106" s="49">
        <v>9000</v>
      </c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8.75" customHeight="1" x14ac:dyDescent="0.45">
      <c r="A107" s="48"/>
      <c r="B107" s="48"/>
      <c r="C107" s="48"/>
      <c r="D107" s="52" t="s">
        <v>116</v>
      </c>
      <c r="E107" s="52" t="s">
        <v>123</v>
      </c>
      <c r="F107" s="49">
        <v>9000</v>
      </c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8.75" customHeight="1" x14ac:dyDescent="0.45">
      <c r="A108" s="48"/>
      <c r="B108" s="48"/>
      <c r="C108" s="48"/>
      <c r="D108" s="48"/>
      <c r="E108" s="48"/>
      <c r="F108" s="50">
        <v>9500</v>
      </c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8.75" customHeight="1" x14ac:dyDescent="0.45">
      <c r="A109" s="48"/>
      <c r="B109" s="48"/>
      <c r="C109" s="48"/>
      <c r="D109" s="48"/>
      <c r="E109" s="48"/>
      <c r="F109" s="50">
        <v>9800</v>
      </c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8.75" customHeight="1" x14ac:dyDescent="0.45">
      <c r="A110" s="48"/>
      <c r="B110" s="48"/>
      <c r="C110" s="48"/>
      <c r="D110" s="48"/>
      <c r="E110" s="48"/>
      <c r="F110" s="50">
        <v>11500</v>
      </c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8.75" customHeight="1" x14ac:dyDescent="0.45">
      <c r="A111" s="48"/>
      <c r="B111" s="48"/>
      <c r="C111" s="48"/>
      <c r="D111" s="48"/>
      <c r="E111" s="48"/>
      <c r="F111" s="50">
        <v>12000</v>
      </c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8.75" customHeight="1" x14ac:dyDescent="0.45">
      <c r="A112" s="48"/>
      <c r="B112" s="48"/>
      <c r="C112" s="48"/>
      <c r="D112" s="48"/>
      <c r="E112" s="48"/>
      <c r="F112" s="49">
        <v>13000</v>
      </c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8.75" customHeight="1" x14ac:dyDescent="0.45">
      <c r="A113" s="48"/>
      <c r="B113" s="48"/>
      <c r="C113" s="48"/>
      <c r="D113" s="48"/>
      <c r="E113" s="48"/>
      <c r="F113" s="49">
        <v>13000</v>
      </c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8.75" customHeight="1" x14ac:dyDescent="0.45">
      <c r="A114" s="48"/>
      <c r="B114" s="48"/>
      <c r="C114" s="48"/>
      <c r="D114" s="48"/>
      <c r="E114" s="48"/>
      <c r="F114" s="50">
        <v>13500</v>
      </c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8.75" customHeight="1" x14ac:dyDescent="0.45">
      <c r="A115" s="48"/>
      <c r="B115" s="48"/>
      <c r="C115" s="48"/>
      <c r="D115" s="48"/>
      <c r="E115" s="48"/>
      <c r="F115" s="49">
        <v>14000</v>
      </c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8.75" customHeight="1" x14ac:dyDescent="0.45">
      <c r="A116" s="48"/>
      <c r="B116" s="48"/>
      <c r="C116" s="48"/>
      <c r="D116" s="48"/>
      <c r="E116" s="48"/>
      <c r="F116" s="50">
        <v>15000</v>
      </c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8.75" customHeight="1" x14ac:dyDescent="0.45">
      <c r="A117" s="48"/>
      <c r="B117" s="48"/>
      <c r="C117" s="48"/>
      <c r="D117" s="48"/>
      <c r="E117" s="48"/>
      <c r="F117" s="49">
        <v>17000</v>
      </c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8.75" customHeight="1" x14ac:dyDescent="0.45">
      <c r="A118" s="48"/>
      <c r="B118" s="48"/>
      <c r="C118" s="48"/>
      <c r="D118" s="48"/>
      <c r="E118" s="48"/>
      <c r="F118" s="49">
        <v>17500</v>
      </c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8.75" customHeight="1" x14ac:dyDescent="0.45">
      <c r="A119" s="48"/>
      <c r="B119" s="48"/>
      <c r="C119" s="48"/>
      <c r="D119" s="48"/>
      <c r="E119" s="48"/>
      <c r="F119" s="49">
        <v>18000</v>
      </c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8.75" customHeight="1" x14ac:dyDescent="0.45">
      <c r="A120" s="48"/>
      <c r="B120" s="48"/>
      <c r="C120" s="48"/>
      <c r="D120" s="48"/>
      <c r="E120" s="48"/>
      <c r="F120" s="50">
        <v>18800</v>
      </c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8.75" customHeight="1" x14ac:dyDescent="0.45">
      <c r="A121" s="48"/>
      <c r="B121" s="48"/>
      <c r="C121" s="48"/>
      <c r="D121" s="48"/>
      <c r="E121" s="48"/>
      <c r="F121" s="49">
        <v>20500</v>
      </c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8.75" customHeight="1" x14ac:dyDescent="0.45">
      <c r="A122" s="48"/>
      <c r="B122" s="48"/>
      <c r="C122" s="48"/>
      <c r="D122" s="48"/>
      <c r="E122" s="48"/>
      <c r="F122" s="50">
        <v>22000</v>
      </c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8.75" customHeight="1" x14ac:dyDescent="0.45">
      <c r="A123" s="48"/>
      <c r="B123" s="48"/>
      <c r="C123" s="48"/>
      <c r="D123" s="48"/>
      <c r="E123" s="48"/>
      <c r="F123" s="50">
        <v>22800</v>
      </c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8.75" customHeight="1" x14ac:dyDescent="0.45">
      <c r="A124" s="48"/>
      <c r="B124" s="48"/>
      <c r="C124" s="48"/>
      <c r="D124" s="48"/>
      <c r="E124" s="48"/>
      <c r="F124" s="49">
        <v>24000</v>
      </c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8.75" customHeight="1" x14ac:dyDescent="0.45">
      <c r="A125" s="48"/>
      <c r="B125" s="48"/>
      <c r="C125" s="48"/>
      <c r="D125" s="48"/>
      <c r="E125" s="48"/>
      <c r="F125" s="49">
        <v>27000</v>
      </c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8.75" customHeight="1" x14ac:dyDescent="0.45">
      <c r="A126" s="48"/>
      <c r="B126" s="48"/>
      <c r="C126" s="48"/>
      <c r="D126" s="48"/>
      <c r="E126" s="48"/>
      <c r="F126" s="49">
        <v>28000</v>
      </c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8.75" customHeight="1" x14ac:dyDescent="0.45">
      <c r="A127" s="48"/>
      <c r="B127" s="48"/>
      <c r="C127" s="48"/>
      <c r="D127" s="48"/>
      <c r="E127" s="48"/>
      <c r="F127" s="49">
        <v>29500</v>
      </c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8.75" customHeight="1" x14ac:dyDescent="0.45">
      <c r="A128" s="48"/>
      <c r="B128" s="48"/>
      <c r="C128" s="48"/>
      <c r="D128" s="48"/>
      <c r="E128" s="48"/>
      <c r="F128" s="49">
        <v>32000</v>
      </c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8.75" customHeight="1" x14ac:dyDescent="0.45">
      <c r="A129" s="48"/>
      <c r="B129" s="48"/>
      <c r="C129" s="48"/>
      <c r="D129" s="48"/>
      <c r="E129" s="48"/>
      <c r="F129" s="49">
        <v>35000</v>
      </c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8.75" customHeight="1" x14ac:dyDescent="0.45">
      <c r="A130" s="48"/>
      <c r="B130" s="48"/>
      <c r="C130" s="48"/>
      <c r="D130" s="48"/>
      <c r="E130" s="48"/>
      <c r="F130" s="49">
        <v>36000</v>
      </c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8.75" customHeight="1" x14ac:dyDescent="0.45">
      <c r="A131" s="48"/>
      <c r="B131" s="48"/>
      <c r="C131" s="48"/>
      <c r="D131" s="48"/>
      <c r="E131" s="48"/>
      <c r="F131" s="49">
        <v>37000</v>
      </c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8.75" customHeight="1" x14ac:dyDescent="0.45">
      <c r="A132" s="48"/>
      <c r="B132" s="48"/>
      <c r="C132" s="48"/>
      <c r="D132" s="48"/>
      <c r="E132" s="48"/>
      <c r="F132" s="49">
        <v>43450</v>
      </c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8.75" customHeight="1" x14ac:dyDescent="0.45">
      <c r="A133" s="48"/>
      <c r="B133" s="48"/>
      <c r="C133" s="48"/>
      <c r="D133" s="48"/>
      <c r="E133" s="48"/>
      <c r="F133" s="49">
        <v>44550</v>
      </c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8.75" customHeight="1" x14ac:dyDescent="0.45">
      <c r="A134" s="48"/>
      <c r="B134" s="48"/>
      <c r="C134" s="48"/>
      <c r="D134" s="48"/>
      <c r="E134" s="48"/>
      <c r="F134" s="50">
        <v>49500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8.75" customHeight="1" x14ac:dyDescent="0.45">
      <c r="A135" s="48"/>
      <c r="B135" s="48"/>
      <c r="C135" s="48"/>
      <c r="D135" s="48"/>
      <c r="E135" s="48"/>
      <c r="F135" s="49">
        <v>57200</v>
      </c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8.75" customHeight="1" x14ac:dyDescent="0.45">
      <c r="A136" s="48"/>
      <c r="B136" s="48"/>
      <c r="C136" s="48"/>
      <c r="D136" s="48"/>
      <c r="E136" s="48"/>
      <c r="F136" s="49">
        <v>58000</v>
      </c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8.75" customHeight="1" x14ac:dyDescent="0.45">
      <c r="A137" s="48"/>
      <c r="B137" s="48"/>
      <c r="C137" s="48"/>
      <c r="D137" s="48"/>
      <c r="E137" s="48"/>
      <c r="F137" s="49">
        <v>68200</v>
      </c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8.75" customHeight="1" x14ac:dyDescent="0.45">
      <c r="A138" s="48"/>
      <c r="B138" s="48"/>
      <c r="C138" s="48"/>
      <c r="D138" s="48"/>
      <c r="E138" s="48"/>
      <c r="F138" s="50">
        <v>77000</v>
      </c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8.75" customHeight="1" x14ac:dyDescent="0.45">
      <c r="A139" s="48"/>
      <c r="B139" s="48"/>
      <c r="C139" s="48"/>
      <c r="D139" s="48"/>
      <c r="E139" s="48"/>
      <c r="F139" s="50">
        <v>88500</v>
      </c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8.75" customHeight="1" x14ac:dyDescent="0.45">
      <c r="A140" s="48"/>
      <c r="B140" s="48"/>
      <c r="C140" s="48"/>
      <c r="D140" s="48"/>
      <c r="E140" s="48"/>
      <c r="F140" s="49">
        <v>115000</v>
      </c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8.75" customHeight="1" x14ac:dyDescent="0.45">
      <c r="A141" s="48"/>
      <c r="B141" s="48"/>
      <c r="C141" s="48"/>
      <c r="D141" s="48"/>
      <c r="E141" s="48"/>
      <c r="F141" s="50">
        <v>138500</v>
      </c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8.75" customHeight="1" x14ac:dyDescent="0.45">
      <c r="A142" s="48"/>
      <c r="B142" s="48"/>
      <c r="C142" s="48"/>
      <c r="D142" s="48"/>
      <c r="E142" s="48"/>
      <c r="F142" s="49">
        <v>185000</v>
      </c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8.75" customHeight="1" x14ac:dyDescent="0.45">
      <c r="A143" s="48"/>
      <c r="B143" s="48"/>
      <c r="C143" s="48"/>
      <c r="D143" s="48"/>
      <c r="E143" s="48"/>
      <c r="F143" s="49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8.75" customHeight="1" x14ac:dyDescent="0.45">
      <c r="A144" s="48"/>
      <c r="B144" s="48"/>
      <c r="C144" s="48"/>
      <c r="D144" s="48"/>
      <c r="E144" s="48"/>
      <c r="F144" s="50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8.75" customHeight="1" x14ac:dyDescent="0.45">
      <c r="A145" s="48"/>
      <c r="B145" s="48"/>
      <c r="C145" s="48"/>
      <c r="D145" s="48"/>
      <c r="E145" s="48"/>
      <c r="F145" s="50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8.75" customHeight="1" x14ac:dyDescent="0.45">
      <c r="A146" s="48"/>
      <c r="B146" s="48"/>
      <c r="C146" s="48"/>
      <c r="D146" s="48"/>
      <c r="E146" s="48"/>
      <c r="F146" s="49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8.75" customHeight="1" x14ac:dyDescent="0.45">
      <c r="A147" s="48"/>
      <c r="B147" s="48"/>
      <c r="C147" s="48"/>
      <c r="D147" s="48"/>
      <c r="E147" s="48"/>
      <c r="F147" s="49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8.75" customHeight="1" x14ac:dyDescent="0.45">
      <c r="A148" s="48"/>
      <c r="B148" s="48"/>
      <c r="C148" s="48"/>
      <c r="D148" s="48"/>
      <c r="E148" s="48"/>
      <c r="F148" s="50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8.75" customHeight="1" x14ac:dyDescent="0.45">
      <c r="A149" s="48"/>
      <c r="B149" s="48"/>
      <c r="C149" s="48"/>
      <c r="D149" s="48"/>
      <c r="E149" s="48"/>
      <c r="F149" s="50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8.75" customHeight="1" x14ac:dyDescent="0.45">
      <c r="A150" s="48"/>
      <c r="B150" s="48"/>
      <c r="C150" s="48"/>
      <c r="D150" s="48"/>
      <c r="E150" s="48"/>
      <c r="F150" s="50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8.75" customHeight="1" x14ac:dyDescent="0.45">
      <c r="A151" s="48"/>
      <c r="B151" s="48"/>
      <c r="C151" s="48"/>
      <c r="D151" s="48"/>
      <c r="E151" s="48"/>
      <c r="F151" s="50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8.75" customHeight="1" x14ac:dyDescent="0.45">
      <c r="A152" s="48"/>
      <c r="B152" s="48"/>
      <c r="C152" s="48"/>
      <c r="D152" s="48"/>
      <c r="E152" s="48"/>
      <c r="F152" s="50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8.75" customHeight="1" x14ac:dyDescent="0.45">
      <c r="A153" s="48"/>
      <c r="B153" s="48"/>
      <c r="C153" s="48"/>
      <c r="D153" s="48"/>
      <c r="E153" s="48"/>
      <c r="F153" s="49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8.75" customHeight="1" x14ac:dyDescent="0.45">
      <c r="A154" s="48"/>
      <c r="B154" s="48"/>
      <c r="C154" s="48"/>
      <c r="D154" s="48"/>
      <c r="E154" s="48"/>
      <c r="F154" s="50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8.75" customHeight="1" x14ac:dyDescent="0.45">
      <c r="A155" s="48"/>
      <c r="B155" s="48"/>
      <c r="C155" s="48"/>
      <c r="D155" s="48"/>
      <c r="E155" s="48"/>
      <c r="F155" s="50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8.75" customHeight="1" x14ac:dyDescent="0.45">
      <c r="A156" s="48"/>
      <c r="B156" s="48"/>
      <c r="C156" s="48"/>
      <c r="D156" s="48"/>
      <c r="E156" s="48"/>
      <c r="F156" s="50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8.75" customHeight="1" x14ac:dyDescent="0.45">
      <c r="A157" s="48"/>
      <c r="B157" s="48"/>
      <c r="C157" s="48"/>
      <c r="D157" s="48"/>
      <c r="E157" s="48"/>
      <c r="F157" s="50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8.75" customHeight="1" x14ac:dyDescent="0.45">
      <c r="A158" s="48"/>
      <c r="B158" s="48"/>
      <c r="C158" s="48"/>
      <c r="D158" s="48"/>
      <c r="E158" s="48"/>
      <c r="F158" s="50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8.75" customHeight="1" x14ac:dyDescent="0.45">
      <c r="A159" s="48"/>
      <c r="B159" s="48"/>
      <c r="C159" s="48"/>
      <c r="D159" s="48"/>
      <c r="E159" s="48"/>
      <c r="F159" s="50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8.75" customHeight="1" x14ac:dyDescent="0.45">
      <c r="A160" s="48"/>
      <c r="B160" s="48"/>
      <c r="C160" s="48"/>
      <c r="D160" s="48"/>
      <c r="E160" s="48"/>
      <c r="F160" s="50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8.75" customHeight="1" x14ac:dyDescent="0.45">
      <c r="A161" s="48"/>
      <c r="B161" s="48"/>
      <c r="C161" s="48"/>
      <c r="D161" s="48"/>
      <c r="E161" s="48"/>
      <c r="F161" s="50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8.75" customHeight="1" x14ac:dyDescent="0.45">
      <c r="A162" s="48"/>
      <c r="B162" s="48"/>
      <c r="C162" s="48"/>
      <c r="D162" s="48"/>
      <c r="E162" s="48"/>
      <c r="F162" s="50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8.75" customHeight="1" x14ac:dyDescent="0.45">
      <c r="A163" s="48"/>
      <c r="B163" s="48"/>
      <c r="C163" s="48"/>
      <c r="D163" s="48"/>
      <c r="E163" s="48"/>
      <c r="F163" s="50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8.75" customHeight="1" x14ac:dyDescent="0.45">
      <c r="A164" s="48"/>
      <c r="B164" s="48"/>
      <c r="C164" s="48"/>
      <c r="D164" s="48"/>
      <c r="E164" s="48"/>
      <c r="F164" s="50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8.75" customHeight="1" x14ac:dyDescent="0.45">
      <c r="A165" s="48"/>
      <c r="B165" s="48"/>
      <c r="C165" s="48"/>
      <c r="D165" s="48"/>
      <c r="E165" s="48"/>
      <c r="F165" s="50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8.75" customHeight="1" x14ac:dyDescent="0.45">
      <c r="A166" s="48"/>
      <c r="B166" s="48"/>
      <c r="C166" s="48"/>
      <c r="D166" s="48"/>
      <c r="E166" s="48"/>
      <c r="F166" s="50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8.75" customHeight="1" x14ac:dyDescent="0.45">
      <c r="A167" s="48"/>
      <c r="B167" s="48"/>
      <c r="C167" s="48"/>
      <c r="D167" s="48"/>
      <c r="E167" s="48"/>
      <c r="F167" s="50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8.75" customHeight="1" x14ac:dyDescent="0.45">
      <c r="A168" s="48"/>
      <c r="B168" s="48"/>
      <c r="C168" s="48"/>
      <c r="D168" s="48"/>
      <c r="E168" s="48"/>
      <c r="F168" s="50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8.75" customHeight="1" x14ac:dyDescent="0.45">
      <c r="A169" s="48"/>
      <c r="B169" s="48"/>
      <c r="C169" s="48"/>
      <c r="D169" s="48"/>
      <c r="E169" s="48"/>
      <c r="F169" s="50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8.75" customHeight="1" x14ac:dyDescent="0.45">
      <c r="A170" s="48"/>
      <c r="B170" s="48"/>
      <c r="C170" s="48"/>
      <c r="D170" s="48"/>
      <c r="E170" s="48"/>
      <c r="F170" s="50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8.75" customHeight="1" x14ac:dyDescent="0.45">
      <c r="A171" s="48"/>
      <c r="B171" s="48"/>
      <c r="C171" s="48"/>
      <c r="D171" s="48"/>
      <c r="E171" s="48"/>
      <c r="F171" s="50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8.75" customHeight="1" x14ac:dyDescent="0.45">
      <c r="A172" s="48"/>
      <c r="B172" s="48"/>
      <c r="C172" s="48"/>
      <c r="D172" s="48"/>
      <c r="E172" s="48"/>
      <c r="F172" s="50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8.75" customHeight="1" x14ac:dyDescent="0.45">
      <c r="A173" s="48"/>
      <c r="B173" s="48"/>
      <c r="C173" s="48"/>
      <c r="D173" s="48"/>
      <c r="E173" s="48"/>
      <c r="F173" s="50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8.75" customHeight="1" x14ac:dyDescent="0.45">
      <c r="A174" s="48"/>
      <c r="B174" s="48"/>
      <c r="C174" s="48"/>
      <c r="D174" s="48"/>
      <c r="E174" s="48"/>
      <c r="F174" s="50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8.75" customHeight="1" x14ac:dyDescent="0.45">
      <c r="A175" s="48"/>
      <c r="B175" s="48"/>
      <c r="C175" s="48"/>
      <c r="D175" s="48"/>
      <c r="E175" s="48"/>
      <c r="F175" s="50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8.75" customHeight="1" x14ac:dyDescent="0.45">
      <c r="A176" s="48"/>
      <c r="B176" s="48"/>
      <c r="C176" s="48"/>
      <c r="D176" s="48"/>
      <c r="E176" s="48"/>
      <c r="F176" s="50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8.75" customHeight="1" x14ac:dyDescent="0.45">
      <c r="A177" s="48"/>
      <c r="B177" s="48"/>
      <c r="C177" s="48"/>
      <c r="D177" s="48"/>
      <c r="E177" s="48"/>
      <c r="F177" s="50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8.75" customHeight="1" x14ac:dyDescent="0.45">
      <c r="A178" s="48"/>
      <c r="B178" s="48"/>
      <c r="C178" s="48"/>
      <c r="D178" s="48"/>
      <c r="E178" s="48"/>
      <c r="F178" s="49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8.75" customHeight="1" x14ac:dyDescent="0.45">
      <c r="A179" s="48"/>
      <c r="B179" s="48"/>
      <c r="C179" s="48"/>
      <c r="D179" s="48"/>
      <c r="E179" s="48"/>
      <c r="F179" s="50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8.75" customHeight="1" x14ac:dyDescent="0.45">
      <c r="A180" s="48"/>
      <c r="B180" s="48"/>
      <c r="C180" s="48"/>
      <c r="D180" s="48"/>
      <c r="E180" s="48"/>
      <c r="F180" s="50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8.75" customHeight="1" x14ac:dyDescent="0.45">
      <c r="A181" s="48"/>
      <c r="B181" s="48"/>
      <c r="C181" s="48"/>
      <c r="D181" s="48"/>
      <c r="E181" s="48"/>
      <c r="F181" s="50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8.75" customHeight="1" x14ac:dyDescent="0.45">
      <c r="A182" s="48"/>
      <c r="B182" s="48"/>
      <c r="C182" s="48"/>
      <c r="D182" s="48"/>
      <c r="E182" s="48"/>
      <c r="F182" s="50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8.75" customHeight="1" x14ac:dyDescent="0.45">
      <c r="A183" s="48"/>
      <c r="B183" s="48"/>
      <c r="C183" s="48"/>
      <c r="D183" s="48"/>
      <c r="E183" s="48"/>
      <c r="F183" s="50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8.75" customHeight="1" x14ac:dyDescent="0.45">
      <c r="A184" s="48"/>
      <c r="B184" s="48"/>
      <c r="C184" s="48"/>
      <c r="D184" s="48"/>
      <c r="E184" s="48"/>
      <c r="F184" s="50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8.75" customHeight="1" x14ac:dyDescent="0.45">
      <c r="A185" s="48"/>
      <c r="B185" s="48"/>
      <c r="C185" s="48"/>
      <c r="D185" s="48"/>
      <c r="E185" s="48"/>
      <c r="F185" s="50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8.75" customHeight="1" x14ac:dyDescent="0.45">
      <c r="A186" s="48"/>
      <c r="B186" s="48"/>
      <c r="C186" s="48"/>
      <c r="D186" s="48"/>
      <c r="E186" s="48"/>
      <c r="F186" s="50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8.75" customHeight="1" x14ac:dyDescent="0.45">
      <c r="A187" s="48"/>
      <c r="B187" s="48"/>
      <c r="C187" s="48"/>
      <c r="D187" s="48"/>
      <c r="E187" s="48"/>
      <c r="F187" s="49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8.75" customHeight="1" x14ac:dyDescent="0.45">
      <c r="A188" s="48"/>
      <c r="B188" s="48"/>
      <c r="C188" s="48"/>
      <c r="D188" s="48"/>
      <c r="E188" s="48"/>
      <c r="F188" s="50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8.75" customHeight="1" x14ac:dyDescent="0.45">
      <c r="A189" s="48"/>
      <c r="B189" s="48"/>
      <c r="C189" s="48"/>
      <c r="D189" s="48"/>
      <c r="E189" s="48"/>
      <c r="F189" s="50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8.75" customHeight="1" x14ac:dyDescent="0.45">
      <c r="A190" s="48"/>
      <c r="B190" s="48"/>
      <c r="C190" s="48"/>
      <c r="D190" s="48"/>
      <c r="E190" s="48"/>
      <c r="F190" s="50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8.75" customHeight="1" x14ac:dyDescent="0.45">
      <c r="A191" s="48"/>
      <c r="B191" s="48"/>
      <c r="C191" s="48"/>
      <c r="D191" s="48"/>
      <c r="E191" s="48"/>
      <c r="F191" s="50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8.75" customHeight="1" x14ac:dyDescent="0.45">
      <c r="A192" s="48"/>
      <c r="B192" s="48"/>
      <c r="C192" s="48"/>
      <c r="D192" s="48"/>
      <c r="E192" s="48"/>
      <c r="F192" s="50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8.75" customHeight="1" x14ac:dyDescent="0.45">
      <c r="A193" s="48"/>
      <c r="B193" s="48"/>
      <c r="C193" s="48"/>
      <c r="D193" s="48"/>
      <c r="E193" s="48"/>
      <c r="F193" s="50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8.75" customHeight="1" x14ac:dyDescent="0.45">
      <c r="A194" s="48"/>
      <c r="B194" s="48"/>
      <c r="C194" s="48"/>
      <c r="D194" s="48"/>
      <c r="E194" s="48"/>
      <c r="F194" s="50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8.75" customHeight="1" x14ac:dyDescent="0.45">
      <c r="A195" s="48"/>
      <c r="B195" s="48"/>
      <c r="C195" s="48"/>
      <c r="D195" s="48"/>
      <c r="E195" s="48"/>
      <c r="F195" s="50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8.75" customHeight="1" x14ac:dyDescent="0.45">
      <c r="A196" s="48"/>
      <c r="B196" s="48"/>
      <c r="C196" s="48"/>
      <c r="D196" s="48"/>
      <c r="E196" s="48"/>
      <c r="F196" s="49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8.75" customHeight="1" x14ac:dyDescent="0.45">
      <c r="A197" s="48"/>
      <c r="B197" s="48"/>
      <c r="C197" s="48"/>
      <c r="D197" s="48"/>
      <c r="E197" s="48"/>
      <c r="F197" s="49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8.75" customHeight="1" x14ac:dyDescent="0.45">
      <c r="A198" s="48"/>
      <c r="B198" s="48"/>
      <c r="C198" s="48"/>
      <c r="D198" s="48"/>
      <c r="E198" s="48"/>
      <c r="F198" s="49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8.75" customHeight="1" x14ac:dyDescent="0.45">
      <c r="A199" s="48"/>
      <c r="B199" s="48"/>
      <c r="C199" s="48"/>
      <c r="D199" s="48"/>
      <c r="E199" s="48"/>
      <c r="F199" s="49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8.75" customHeight="1" x14ac:dyDescent="0.45">
      <c r="A200" s="48"/>
      <c r="B200" s="48"/>
      <c r="C200" s="48"/>
      <c r="D200" s="48"/>
      <c r="E200" s="48"/>
      <c r="F200" s="49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8.75" customHeight="1" x14ac:dyDescent="0.45">
      <c r="A201" s="48"/>
      <c r="B201" s="48"/>
      <c r="C201" s="48"/>
      <c r="D201" s="48"/>
      <c r="E201" s="48"/>
      <c r="F201" s="49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8.75" customHeight="1" x14ac:dyDescent="0.45">
      <c r="A202" s="48"/>
      <c r="B202" s="48"/>
      <c r="C202" s="48"/>
      <c r="D202" s="48"/>
      <c r="E202" s="48"/>
      <c r="F202" s="49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8.75" customHeight="1" x14ac:dyDescent="0.45">
      <c r="A203" s="48"/>
      <c r="B203" s="48"/>
      <c r="C203" s="48"/>
      <c r="D203" s="48"/>
      <c r="E203" s="48"/>
      <c r="F203" s="49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8.75" customHeight="1" x14ac:dyDescent="0.45">
      <c r="A204" s="48"/>
      <c r="B204" s="48"/>
      <c r="C204" s="48"/>
      <c r="D204" s="48"/>
      <c r="E204" s="48"/>
      <c r="F204" s="49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8.75" customHeight="1" x14ac:dyDescent="0.45">
      <c r="A205" s="48"/>
      <c r="B205" s="48"/>
      <c r="C205" s="48"/>
      <c r="D205" s="48"/>
      <c r="E205" s="48"/>
      <c r="F205" s="49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8.75" customHeight="1" x14ac:dyDescent="0.45">
      <c r="A206" s="48"/>
      <c r="B206" s="48"/>
      <c r="C206" s="48"/>
      <c r="D206" s="48"/>
      <c r="E206" s="48"/>
      <c r="F206" s="49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8.75" customHeight="1" x14ac:dyDescent="0.45">
      <c r="A207" s="48"/>
      <c r="B207" s="48"/>
      <c r="C207" s="48"/>
      <c r="D207" s="48"/>
      <c r="E207" s="48"/>
      <c r="F207" s="49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8.75" customHeight="1" x14ac:dyDescent="0.45">
      <c r="A208" s="48"/>
      <c r="B208" s="48"/>
      <c r="C208" s="48"/>
      <c r="D208" s="48"/>
      <c r="E208" s="48"/>
      <c r="F208" s="49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8.75" customHeight="1" x14ac:dyDescent="0.45">
      <c r="A209" s="48"/>
      <c r="B209" s="48"/>
      <c r="C209" s="48"/>
      <c r="D209" s="48"/>
      <c r="E209" s="48"/>
      <c r="F209" s="49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8.75" customHeight="1" x14ac:dyDescent="0.45">
      <c r="A210" s="48"/>
      <c r="B210" s="48"/>
      <c r="C210" s="48"/>
      <c r="D210" s="48"/>
      <c r="E210" s="48"/>
      <c r="F210" s="49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8.75" customHeight="1" x14ac:dyDescent="0.45">
      <c r="A211" s="48"/>
      <c r="B211" s="48"/>
      <c r="C211" s="48"/>
      <c r="D211" s="48"/>
      <c r="E211" s="48"/>
      <c r="F211" s="49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8.75" customHeight="1" x14ac:dyDescent="0.45">
      <c r="A212" s="48"/>
      <c r="B212" s="48"/>
      <c r="C212" s="48"/>
      <c r="D212" s="48"/>
      <c r="E212" s="48"/>
      <c r="F212" s="49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8.75" customHeight="1" x14ac:dyDescent="0.45">
      <c r="A213" s="48"/>
      <c r="B213" s="48"/>
      <c r="C213" s="48"/>
      <c r="D213" s="48"/>
      <c r="E213" s="48"/>
      <c r="F213" s="49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8.75" customHeight="1" x14ac:dyDescent="0.45">
      <c r="A214" s="48"/>
      <c r="B214" s="48"/>
      <c r="C214" s="48"/>
      <c r="D214" s="48"/>
      <c r="E214" s="48"/>
      <c r="F214" s="49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8.75" customHeight="1" x14ac:dyDescent="0.45">
      <c r="A215" s="48"/>
      <c r="B215" s="48"/>
      <c r="C215" s="48"/>
      <c r="D215" s="48"/>
      <c r="E215" s="48"/>
      <c r="F215" s="49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8.75" customHeight="1" x14ac:dyDescent="0.45">
      <c r="A216" s="48"/>
      <c r="B216" s="48"/>
      <c r="C216" s="48"/>
      <c r="D216" s="48"/>
      <c r="E216" s="48"/>
      <c r="F216" s="49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8.75" customHeight="1" x14ac:dyDescent="0.45">
      <c r="A217" s="48"/>
      <c r="B217" s="48"/>
      <c r="C217" s="48"/>
      <c r="D217" s="48"/>
      <c r="E217" s="48"/>
      <c r="F217" s="49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8.75" customHeight="1" x14ac:dyDescent="0.45">
      <c r="A218" s="48"/>
      <c r="B218" s="48"/>
      <c r="C218" s="48"/>
      <c r="D218" s="48"/>
      <c r="E218" s="48"/>
      <c r="F218" s="49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8.75" customHeight="1" x14ac:dyDescent="0.45">
      <c r="A219" s="48"/>
      <c r="B219" s="48"/>
      <c r="C219" s="48"/>
      <c r="D219" s="48"/>
      <c r="E219" s="48"/>
      <c r="F219" s="49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8.75" customHeight="1" x14ac:dyDescent="0.45">
      <c r="A220" s="48"/>
      <c r="B220" s="48"/>
      <c r="C220" s="48"/>
      <c r="D220" s="48"/>
      <c r="E220" s="48"/>
      <c r="F220" s="49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8.75" customHeight="1" x14ac:dyDescent="0.45">
      <c r="A221" s="48"/>
      <c r="B221" s="48"/>
      <c r="C221" s="48"/>
      <c r="D221" s="48"/>
      <c r="E221" s="48"/>
      <c r="F221" s="49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8.75" customHeight="1" x14ac:dyDescent="0.45">
      <c r="A222" s="48"/>
      <c r="B222" s="48"/>
      <c r="C222" s="48"/>
      <c r="D222" s="48"/>
      <c r="E222" s="48"/>
      <c r="F222" s="49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8.75" customHeight="1" x14ac:dyDescent="0.45">
      <c r="A223" s="48"/>
      <c r="B223" s="48"/>
      <c r="C223" s="48"/>
      <c r="D223" s="48"/>
      <c r="E223" s="48"/>
      <c r="F223" s="49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8.75" customHeight="1" x14ac:dyDescent="0.45">
      <c r="A224" s="48"/>
      <c r="B224" s="48"/>
      <c r="C224" s="48"/>
      <c r="D224" s="48"/>
      <c r="E224" s="48"/>
      <c r="F224" s="49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8.75" customHeight="1" x14ac:dyDescent="0.45">
      <c r="A225" s="48"/>
      <c r="B225" s="48"/>
      <c r="C225" s="48"/>
      <c r="D225" s="48"/>
      <c r="E225" s="48"/>
      <c r="F225" s="49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8.75" customHeight="1" x14ac:dyDescent="0.45">
      <c r="A226" s="48"/>
      <c r="B226" s="48"/>
      <c r="C226" s="48"/>
      <c r="D226" s="48"/>
      <c r="E226" s="48"/>
      <c r="F226" s="49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8.75" customHeight="1" x14ac:dyDescent="0.45">
      <c r="A227" s="48"/>
      <c r="B227" s="48"/>
      <c r="C227" s="48"/>
      <c r="D227" s="48"/>
      <c r="E227" s="48"/>
      <c r="F227" s="49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8.75" customHeight="1" x14ac:dyDescent="0.45">
      <c r="A228" s="48"/>
      <c r="B228" s="48"/>
      <c r="C228" s="48"/>
      <c r="D228" s="48"/>
      <c r="E228" s="48"/>
      <c r="F228" s="49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8.75" customHeight="1" x14ac:dyDescent="0.45">
      <c r="A229" s="48"/>
      <c r="B229" s="48"/>
      <c r="C229" s="48"/>
      <c r="D229" s="48"/>
      <c r="E229" s="48"/>
      <c r="F229" s="49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8.75" customHeight="1" x14ac:dyDescent="0.45">
      <c r="A230" s="48"/>
      <c r="B230" s="48"/>
      <c r="C230" s="48"/>
      <c r="D230" s="48"/>
      <c r="E230" s="48"/>
      <c r="F230" s="49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8.75" customHeight="1" x14ac:dyDescent="0.45">
      <c r="A231" s="48"/>
      <c r="B231" s="48"/>
      <c r="C231" s="48"/>
      <c r="D231" s="48"/>
      <c r="E231" s="48"/>
      <c r="F231" s="49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8.75" customHeight="1" x14ac:dyDescent="0.45">
      <c r="A232" s="48"/>
      <c r="B232" s="48"/>
      <c r="C232" s="48"/>
      <c r="D232" s="48"/>
      <c r="E232" s="48"/>
      <c r="F232" s="49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8.75" customHeight="1" x14ac:dyDescent="0.45">
      <c r="A233" s="48"/>
      <c r="B233" s="48"/>
      <c r="C233" s="48"/>
      <c r="D233" s="48"/>
      <c r="E233" s="48"/>
      <c r="F233" s="49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8.75" customHeight="1" x14ac:dyDescent="0.45">
      <c r="A234" s="48"/>
      <c r="B234" s="48"/>
      <c r="C234" s="48"/>
      <c r="D234" s="48"/>
      <c r="E234" s="48"/>
      <c r="F234" s="49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8.75" customHeight="1" x14ac:dyDescent="0.45">
      <c r="A235" s="48"/>
      <c r="B235" s="48"/>
      <c r="C235" s="48"/>
      <c r="D235" s="48"/>
      <c r="E235" s="48"/>
      <c r="F235" s="49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8.75" customHeight="1" x14ac:dyDescent="0.45">
      <c r="A236" s="48"/>
      <c r="B236" s="48"/>
      <c r="C236" s="48"/>
      <c r="D236" s="48"/>
      <c r="E236" s="48"/>
      <c r="F236" s="49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8.75" customHeight="1" x14ac:dyDescent="0.45">
      <c r="A237" s="48"/>
      <c r="B237" s="48"/>
      <c r="C237" s="48"/>
      <c r="D237" s="48"/>
      <c r="E237" s="48"/>
      <c r="F237" s="49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8.75" customHeight="1" x14ac:dyDescent="0.45">
      <c r="A238" s="48"/>
      <c r="B238" s="48"/>
      <c r="C238" s="48"/>
      <c r="D238" s="48"/>
      <c r="E238" s="48"/>
      <c r="F238" s="49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8.75" customHeight="1" x14ac:dyDescent="0.45">
      <c r="A239" s="48"/>
      <c r="B239" s="48"/>
      <c r="C239" s="48"/>
      <c r="D239" s="48"/>
      <c r="E239" s="48"/>
      <c r="F239" s="49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8.75" customHeight="1" x14ac:dyDescent="0.45">
      <c r="A240" s="48"/>
      <c r="B240" s="48"/>
      <c r="C240" s="48"/>
      <c r="D240" s="48"/>
      <c r="E240" s="48"/>
      <c r="F240" s="49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8.75" customHeight="1" x14ac:dyDescent="0.45">
      <c r="A241" s="48"/>
      <c r="B241" s="48"/>
      <c r="C241" s="48"/>
      <c r="D241" s="48"/>
      <c r="E241" s="48"/>
      <c r="F241" s="49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8.75" customHeight="1" x14ac:dyDescent="0.45">
      <c r="A242" s="48"/>
      <c r="B242" s="48"/>
      <c r="C242" s="48"/>
      <c r="D242" s="48"/>
      <c r="E242" s="48"/>
      <c r="F242" s="49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8.75" customHeight="1" x14ac:dyDescent="0.45">
      <c r="A243" s="48"/>
      <c r="B243" s="48"/>
      <c r="C243" s="48"/>
      <c r="D243" s="48"/>
      <c r="E243" s="48"/>
      <c r="F243" s="49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8.75" customHeight="1" x14ac:dyDescent="0.45">
      <c r="A244" s="48"/>
      <c r="B244" s="48"/>
      <c r="C244" s="48"/>
      <c r="D244" s="48"/>
      <c r="E244" s="48"/>
      <c r="F244" s="49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8.75" customHeight="1" x14ac:dyDescent="0.45">
      <c r="A245" s="48"/>
      <c r="B245" s="48"/>
      <c r="C245" s="48"/>
      <c r="D245" s="48"/>
      <c r="E245" s="48"/>
      <c r="F245" s="49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8.75" customHeight="1" x14ac:dyDescent="0.45">
      <c r="A246" s="48"/>
      <c r="B246" s="48"/>
      <c r="C246" s="48"/>
      <c r="D246" s="48"/>
      <c r="E246" s="48"/>
      <c r="F246" s="49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8.75" customHeight="1" x14ac:dyDescent="0.45">
      <c r="A247" s="48"/>
      <c r="B247" s="48"/>
      <c r="C247" s="48"/>
      <c r="D247" s="48"/>
      <c r="E247" s="48"/>
      <c r="F247" s="49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8.75" customHeight="1" x14ac:dyDescent="0.45">
      <c r="A248" s="48"/>
      <c r="B248" s="48"/>
      <c r="C248" s="48"/>
      <c r="D248" s="48"/>
      <c r="E248" s="48"/>
      <c r="F248" s="49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8.75" customHeight="1" x14ac:dyDescent="0.45">
      <c r="A249" s="48"/>
      <c r="B249" s="48"/>
      <c r="C249" s="48"/>
      <c r="D249" s="48"/>
      <c r="E249" s="48"/>
      <c r="F249" s="49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8.75" customHeight="1" x14ac:dyDescent="0.45">
      <c r="A250" s="48"/>
      <c r="B250" s="48"/>
      <c r="C250" s="48"/>
      <c r="D250" s="48"/>
      <c r="E250" s="48"/>
      <c r="F250" s="49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8.75" customHeight="1" x14ac:dyDescent="0.45">
      <c r="A251" s="48"/>
      <c r="B251" s="48"/>
      <c r="C251" s="48"/>
      <c r="D251" s="48"/>
      <c r="E251" s="48"/>
      <c r="F251" s="49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8.75" customHeight="1" x14ac:dyDescent="0.45">
      <c r="A252" s="48"/>
      <c r="B252" s="48"/>
      <c r="C252" s="48"/>
      <c r="D252" s="48"/>
      <c r="E252" s="48"/>
      <c r="F252" s="49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8.75" customHeight="1" x14ac:dyDescent="0.45">
      <c r="A253" s="48"/>
      <c r="B253" s="48"/>
      <c r="C253" s="48"/>
      <c r="D253" s="48"/>
      <c r="E253" s="48"/>
      <c r="F253" s="49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8.75" customHeight="1" x14ac:dyDescent="0.45">
      <c r="A254" s="48"/>
      <c r="B254" s="48"/>
      <c r="C254" s="48"/>
      <c r="D254" s="48"/>
      <c r="E254" s="48"/>
      <c r="F254" s="49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8.75" customHeight="1" x14ac:dyDescent="0.45">
      <c r="A255" s="48"/>
      <c r="B255" s="48"/>
      <c r="C255" s="48"/>
      <c r="D255" s="48"/>
      <c r="E255" s="48"/>
      <c r="F255" s="49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8.75" customHeight="1" x14ac:dyDescent="0.45">
      <c r="A256" s="48"/>
      <c r="B256" s="48"/>
      <c r="C256" s="48"/>
      <c r="D256" s="48"/>
      <c r="E256" s="48"/>
      <c r="F256" s="49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8.75" customHeight="1" x14ac:dyDescent="0.45">
      <c r="A257" s="48"/>
      <c r="B257" s="48"/>
      <c r="C257" s="48"/>
      <c r="D257" s="48"/>
      <c r="E257" s="48"/>
      <c r="F257" s="49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8.75" customHeight="1" x14ac:dyDescent="0.45">
      <c r="A258" s="48"/>
      <c r="B258" s="48"/>
      <c r="C258" s="48"/>
      <c r="D258" s="48"/>
      <c r="E258" s="48"/>
      <c r="F258" s="49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8.75" customHeight="1" x14ac:dyDescent="0.45">
      <c r="A259" s="48"/>
      <c r="B259" s="48"/>
      <c r="C259" s="48"/>
      <c r="D259" s="48"/>
      <c r="E259" s="48"/>
      <c r="F259" s="49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8.75" customHeight="1" x14ac:dyDescent="0.45">
      <c r="A260" s="48"/>
      <c r="B260" s="48"/>
      <c r="C260" s="48"/>
      <c r="D260" s="48"/>
      <c r="E260" s="48"/>
      <c r="F260" s="49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8.75" customHeight="1" x14ac:dyDescent="0.45">
      <c r="A261" s="48"/>
      <c r="B261" s="48"/>
      <c r="C261" s="48"/>
      <c r="D261" s="48"/>
      <c r="E261" s="48"/>
      <c r="F261" s="49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8.75" customHeight="1" x14ac:dyDescent="0.45">
      <c r="A262" s="48"/>
      <c r="B262" s="48"/>
      <c r="C262" s="48"/>
      <c r="D262" s="48"/>
      <c r="E262" s="48"/>
      <c r="F262" s="49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8.75" customHeight="1" x14ac:dyDescent="0.45">
      <c r="A263" s="48"/>
      <c r="B263" s="48"/>
      <c r="C263" s="48"/>
      <c r="D263" s="48"/>
      <c r="E263" s="48"/>
      <c r="F263" s="49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8.75" customHeight="1" x14ac:dyDescent="0.45">
      <c r="A264" s="48"/>
      <c r="B264" s="48"/>
      <c r="C264" s="48"/>
      <c r="D264" s="48"/>
      <c r="E264" s="48"/>
      <c r="F264" s="49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8.75" customHeight="1" x14ac:dyDescent="0.45">
      <c r="A265" s="48"/>
      <c r="B265" s="48"/>
      <c r="C265" s="48"/>
      <c r="D265" s="48"/>
      <c r="E265" s="48"/>
      <c r="F265" s="49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8.75" customHeight="1" x14ac:dyDescent="0.45">
      <c r="A266" s="48"/>
      <c r="B266" s="48"/>
      <c r="C266" s="48"/>
      <c r="D266" s="48"/>
      <c r="E266" s="48"/>
      <c r="F266" s="49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8.75" customHeight="1" x14ac:dyDescent="0.45">
      <c r="A267" s="48"/>
      <c r="B267" s="48"/>
      <c r="C267" s="48"/>
      <c r="D267" s="48"/>
      <c r="E267" s="48"/>
      <c r="F267" s="49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8.75" customHeight="1" x14ac:dyDescent="0.45">
      <c r="A268" s="48"/>
      <c r="B268" s="48"/>
      <c r="C268" s="48"/>
      <c r="D268" s="48"/>
      <c r="E268" s="48"/>
      <c r="F268" s="49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8.75" customHeight="1" x14ac:dyDescent="0.45">
      <c r="A269" s="48"/>
      <c r="B269" s="48"/>
      <c r="C269" s="48"/>
      <c r="D269" s="48"/>
      <c r="E269" s="48"/>
      <c r="F269" s="49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8.75" customHeight="1" x14ac:dyDescent="0.45">
      <c r="A270" s="48"/>
      <c r="B270" s="48"/>
      <c r="C270" s="48"/>
      <c r="D270" s="48"/>
      <c r="E270" s="48"/>
      <c r="F270" s="49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8.75" customHeight="1" x14ac:dyDescent="0.45">
      <c r="A271" s="48"/>
      <c r="B271" s="48"/>
      <c r="C271" s="48"/>
      <c r="D271" s="48"/>
      <c r="E271" s="48"/>
      <c r="F271" s="49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8.75" customHeight="1" x14ac:dyDescent="0.45">
      <c r="A272" s="48"/>
      <c r="B272" s="48"/>
      <c r="C272" s="48"/>
      <c r="D272" s="48"/>
      <c r="E272" s="48"/>
      <c r="F272" s="49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8.75" customHeight="1" x14ac:dyDescent="0.45">
      <c r="A273" s="48"/>
      <c r="B273" s="48"/>
      <c r="C273" s="48"/>
      <c r="D273" s="48"/>
      <c r="E273" s="48"/>
      <c r="F273" s="49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8.75" customHeight="1" x14ac:dyDescent="0.45">
      <c r="A274" s="48"/>
      <c r="B274" s="48"/>
      <c r="C274" s="48"/>
      <c r="D274" s="48"/>
      <c r="E274" s="48"/>
      <c r="F274" s="49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8.75" customHeight="1" x14ac:dyDescent="0.45">
      <c r="A275" s="48"/>
      <c r="B275" s="48"/>
      <c r="C275" s="48"/>
      <c r="D275" s="48"/>
      <c r="E275" s="48"/>
      <c r="F275" s="49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8.75" customHeight="1" x14ac:dyDescent="0.45">
      <c r="A276" s="48"/>
      <c r="B276" s="48"/>
      <c r="C276" s="48"/>
      <c r="D276" s="48"/>
      <c r="E276" s="48"/>
      <c r="F276" s="49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8.75" customHeight="1" x14ac:dyDescent="0.45">
      <c r="A277" s="48"/>
      <c r="B277" s="48"/>
      <c r="C277" s="48"/>
      <c r="D277" s="48"/>
      <c r="E277" s="48"/>
      <c r="F277" s="49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8.75" customHeight="1" x14ac:dyDescent="0.45">
      <c r="A278" s="48"/>
      <c r="B278" s="48"/>
      <c r="C278" s="48"/>
      <c r="D278" s="48"/>
      <c r="E278" s="48"/>
      <c r="F278" s="49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8.75" customHeight="1" x14ac:dyDescent="0.45">
      <c r="A279" s="48"/>
      <c r="B279" s="48"/>
      <c r="C279" s="48"/>
      <c r="D279" s="48"/>
      <c r="E279" s="48"/>
      <c r="F279" s="49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8.75" customHeight="1" x14ac:dyDescent="0.45">
      <c r="A280" s="48"/>
      <c r="B280" s="48"/>
      <c r="C280" s="48"/>
      <c r="D280" s="48"/>
      <c r="E280" s="48"/>
      <c r="F280" s="49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8.75" customHeight="1" x14ac:dyDescent="0.45">
      <c r="A281" s="48"/>
      <c r="B281" s="48"/>
      <c r="C281" s="48"/>
      <c r="D281" s="48"/>
      <c r="E281" s="48"/>
      <c r="F281" s="49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8.75" customHeight="1" x14ac:dyDescent="0.45">
      <c r="A282" s="48"/>
      <c r="B282" s="48"/>
      <c r="C282" s="48"/>
      <c r="D282" s="48"/>
      <c r="E282" s="48"/>
      <c r="F282" s="49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8.75" customHeight="1" x14ac:dyDescent="0.45">
      <c r="A283" s="48"/>
      <c r="B283" s="48"/>
      <c r="C283" s="48"/>
      <c r="D283" s="48"/>
      <c r="E283" s="48"/>
      <c r="F283" s="49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8.75" customHeight="1" x14ac:dyDescent="0.45">
      <c r="A284" s="48"/>
      <c r="B284" s="48"/>
      <c r="C284" s="48"/>
      <c r="D284" s="48"/>
      <c r="E284" s="48"/>
      <c r="F284" s="49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8.75" customHeight="1" x14ac:dyDescent="0.45">
      <c r="A285" s="48"/>
      <c r="B285" s="48"/>
      <c r="C285" s="48"/>
      <c r="D285" s="48"/>
      <c r="E285" s="48"/>
      <c r="F285" s="49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8.75" customHeight="1" x14ac:dyDescent="0.45">
      <c r="A286" s="48"/>
      <c r="B286" s="48"/>
      <c r="C286" s="48"/>
      <c r="D286" s="48"/>
      <c r="E286" s="48"/>
      <c r="F286" s="49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8.75" customHeight="1" x14ac:dyDescent="0.45">
      <c r="A287" s="48"/>
      <c r="B287" s="48"/>
      <c r="C287" s="48"/>
      <c r="D287" s="48"/>
      <c r="E287" s="48"/>
      <c r="F287" s="49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8.75" customHeight="1" x14ac:dyDescent="0.45">
      <c r="A288" s="48"/>
      <c r="B288" s="48"/>
      <c r="C288" s="48"/>
      <c r="D288" s="48"/>
      <c r="E288" s="48"/>
      <c r="F288" s="49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8.75" customHeight="1" x14ac:dyDescent="0.45">
      <c r="A289" s="48"/>
      <c r="B289" s="48"/>
      <c r="C289" s="48"/>
      <c r="D289" s="48"/>
      <c r="E289" s="48"/>
      <c r="F289" s="49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8.75" customHeight="1" x14ac:dyDescent="0.45">
      <c r="A290" s="48"/>
      <c r="B290" s="48"/>
      <c r="C290" s="48"/>
      <c r="D290" s="48"/>
      <c r="E290" s="48"/>
      <c r="F290" s="49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8.75" customHeight="1" x14ac:dyDescent="0.45">
      <c r="A291" s="48"/>
      <c r="B291" s="48"/>
      <c r="C291" s="48"/>
      <c r="D291" s="48"/>
      <c r="E291" s="48"/>
      <c r="F291" s="49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8.75" customHeight="1" x14ac:dyDescent="0.45">
      <c r="A292" s="48"/>
      <c r="B292" s="48"/>
      <c r="C292" s="48"/>
      <c r="D292" s="48"/>
      <c r="E292" s="48"/>
      <c r="F292" s="49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8.75" customHeight="1" x14ac:dyDescent="0.45">
      <c r="A293" s="48"/>
      <c r="B293" s="48"/>
      <c r="C293" s="48"/>
      <c r="D293" s="48"/>
      <c r="E293" s="48"/>
      <c r="F293" s="49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8.75" customHeight="1" x14ac:dyDescent="0.45">
      <c r="A294" s="48"/>
      <c r="B294" s="48"/>
      <c r="C294" s="48"/>
      <c r="D294" s="48"/>
      <c r="E294" s="48"/>
      <c r="F294" s="49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8.75" customHeight="1" x14ac:dyDescent="0.45">
      <c r="A295" s="48"/>
      <c r="B295" s="48"/>
      <c r="C295" s="48"/>
      <c r="D295" s="48"/>
      <c r="E295" s="48"/>
      <c r="F295" s="49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8.75" customHeight="1" x14ac:dyDescent="0.45">
      <c r="A296" s="48"/>
      <c r="B296" s="48"/>
      <c r="C296" s="48"/>
      <c r="D296" s="48"/>
      <c r="E296" s="48"/>
      <c r="F296" s="49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8.75" customHeight="1" x14ac:dyDescent="0.45">
      <c r="A297" s="48"/>
      <c r="B297" s="48"/>
      <c r="C297" s="48"/>
      <c r="D297" s="48"/>
      <c r="E297" s="48"/>
      <c r="F297" s="49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8.75" customHeight="1" x14ac:dyDescent="0.45">
      <c r="A298" s="48"/>
      <c r="B298" s="48"/>
      <c r="C298" s="48"/>
      <c r="D298" s="48"/>
      <c r="E298" s="48"/>
      <c r="F298" s="49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8.75" customHeight="1" x14ac:dyDescent="0.45">
      <c r="A299" s="48"/>
      <c r="B299" s="48"/>
      <c r="C299" s="48"/>
      <c r="D299" s="48"/>
      <c r="E299" s="48"/>
      <c r="F299" s="49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8.75" customHeight="1" x14ac:dyDescent="0.45">
      <c r="A300" s="48"/>
      <c r="B300" s="48"/>
      <c r="C300" s="48"/>
      <c r="D300" s="48"/>
      <c r="E300" s="48"/>
      <c r="F300" s="49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8.75" customHeight="1" x14ac:dyDescent="0.45">
      <c r="A301" s="48"/>
      <c r="B301" s="48"/>
      <c r="C301" s="48"/>
      <c r="D301" s="48"/>
      <c r="E301" s="48"/>
      <c r="F301" s="49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8.75" customHeight="1" x14ac:dyDescent="0.45">
      <c r="A302" s="48"/>
      <c r="B302" s="48"/>
      <c r="C302" s="48"/>
      <c r="D302" s="48"/>
      <c r="E302" s="48"/>
      <c r="F302" s="49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8.75" customHeight="1" x14ac:dyDescent="0.45">
      <c r="A303" s="48"/>
      <c r="B303" s="48"/>
      <c r="C303" s="48"/>
      <c r="D303" s="48"/>
      <c r="E303" s="48"/>
      <c r="F303" s="49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8.75" customHeight="1" x14ac:dyDescent="0.45">
      <c r="A304" s="48"/>
      <c r="B304" s="48"/>
      <c r="C304" s="48"/>
      <c r="D304" s="48"/>
      <c r="E304" s="48"/>
      <c r="F304" s="49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8.75" customHeight="1" x14ac:dyDescent="0.45">
      <c r="A305" s="48"/>
      <c r="B305" s="48"/>
      <c r="C305" s="48"/>
      <c r="D305" s="48"/>
      <c r="E305" s="48"/>
      <c r="F305" s="49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8.75" customHeight="1" x14ac:dyDescent="0.45">
      <c r="A306" s="48"/>
      <c r="B306" s="48"/>
      <c r="C306" s="48"/>
      <c r="D306" s="48"/>
      <c r="E306" s="48"/>
      <c r="F306" s="49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8.75" customHeight="1" x14ac:dyDescent="0.45">
      <c r="A307" s="48"/>
      <c r="B307" s="48"/>
      <c r="C307" s="48"/>
      <c r="D307" s="48"/>
      <c r="E307" s="48"/>
      <c r="F307" s="49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8.75" customHeight="1" x14ac:dyDescent="0.45">
      <c r="A308" s="48"/>
      <c r="B308" s="48"/>
      <c r="C308" s="48"/>
      <c r="D308" s="48"/>
      <c r="E308" s="48"/>
      <c r="F308" s="49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8.75" customHeight="1" x14ac:dyDescent="0.45">
      <c r="A309" s="48"/>
      <c r="B309" s="48"/>
      <c r="C309" s="48"/>
      <c r="D309" s="48"/>
      <c r="E309" s="48"/>
      <c r="F309" s="49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8.75" customHeight="1" x14ac:dyDescent="0.45">
      <c r="A310" s="48"/>
      <c r="B310" s="48"/>
      <c r="C310" s="48"/>
      <c r="D310" s="48"/>
      <c r="E310" s="48"/>
      <c r="F310" s="49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8.75" customHeight="1" x14ac:dyDescent="0.45">
      <c r="A311" s="48"/>
      <c r="B311" s="48"/>
      <c r="C311" s="48"/>
      <c r="D311" s="48"/>
      <c r="E311" s="48"/>
      <c r="F311" s="49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8.75" customHeight="1" x14ac:dyDescent="0.45">
      <c r="A312" s="48"/>
      <c r="B312" s="48"/>
      <c r="C312" s="48"/>
      <c r="D312" s="48"/>
      <c r="E312" s="48"/>
      <c r="F312" s="49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8.75" customHeight="1" x14ac:dyDescent="0.45">
      <c r="A313" s="48"/>
      <c r="B313" s="48"/>
      <c r="C313" s="48"/>
      <c r="D313" s="48"/>
      <c r="E313" s="48"/>
      <c r="F313" s="49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8.75" customHeight="1" x14ac:dyDescent="0.45">
      <c r="A314" s="48"/>
      <c r="B314" s="48"/>
      <c r="C314" s="48"/>
      <c r="D314" s="48"/>
      <c r="E314" s="48"/>
      <c r="F314" s="49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8.75" customHeight="1" x14ac:dyDescent="0.45">
      <c r="A315" s="48"/>
      <c r="B315" s="48"/>
      <c r="C315" s="48"/>
      <c r="D315" s="48"/>
      <c r="E315" s="48"/>
      <c r="F315" s="49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8.75" customHeight="1" x14ac:dyDescent="0.45">
      <c r="A316" s="48"/>
      <c r="B316" s="48"/>
      <c r="C316" s="48"/>
      <c r="D316" s="48"/>
      <c r="E316" s="48"/>
      <c r="F316" s="49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8.75" customHeight="1" x14ac:dyDescent="0.45">
      <c r="A317" s="48"/>
      <c r="B317" s="48"/>
      <c r="C317" s="48"/>
      <c r="D317" s="48"/>
      <c r="E317" s="48"/>
      <c r="F317" s="49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8.75" customHeight="1" x14ac:dyDescent="0.45">
      <c r="A318" s="48"/>
      <c r="B318" s="48"/>
      <c r="C318" s="48"/>
      <c r="D318" s="48"/>
      <c r="E318" s="48"/>
      <c r="F318" s="49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8.75" customHeight="1" x14ac:dyDescent="0.45">
      <c r="A319" s="48"/>
      <c r="B319" s="48"/>
      <c r="C319" s="48"/>
      <c r="D319" s="48"/>
      <c r="E319" s="48"/>
      <c r="F319" s="49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8.75" customHeight="1" x14ac:dyDescent="0.45">
      <c r="A320" s="48"/>
      <c r="B320" s="48"/>
      <c r="C320" s="48"/>
      <c r="D320" s="48"/>
      <c r="E320" s="48"/>
      <c r="F320" s="49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8.75" customHeight="1" x14ac:dyDescent="0.45">
      <c r="A321" s="48"/>
      <c r="B321" s="48"/>
      <c r="C321" s="48"/>
      <c r="D321" s="48"/>
      <c r="E321" s="48"/>
      <c r="F321" s="49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8.75" customHeight="1" x14ac:dyDescent="0.45">
      <c r="A322" s="48"/>
      <c r="B322" s="48"/>
      <c r="C322" s="48"/>
      <c r="D322" s="48"/>
      <c r="E322" s="48"/>
      <c r="F322" s="49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8.75" customHeight="1" x14ac:dyDescent="0.45">
      <c r="A323" s="48"/>
      <c r="B323" s="48"/>
      <c r="C323" s="48"/>
      <c r="D323" s="48"/>
      <c r="E323" s="48"/>
      <c r="F323" s="49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8.75" customHeight="1" x14ac:dyDescent="0.45">
      <c r="A324" s="48"/>
      <c r="B324" s="48"/>
      <c r="C324" s="48"/>
      <c r="D324" s="48"/>
      <c r="E324" s="48"/>
      <c r="F324" s="49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8.75" customHeight="1" x14ac:dyDescent="0.45">
      <c r="A325" s="48"/>
      <c r="B325" s="48"/>
      <c r="C325" s="48"/>
      <c r="D325" s="48"/>
      <c r="E325" s="48"/>
      <c r="F325" s="49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8.75" customHeight="1" x14ac:dyDescent="0.45">
      <c r="A326" s="48"/>
      <c r="B326" s="48"/>
      <c r="C326" s="48"/>
      <c r="D326" s="48"/>
      <c r="E326" s="48"/>
      <c r="F326" s="49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8.75" customHeight="1" x14ac:dyDescent="0.45">
      <c r="A327" s="48"/>
      <c r="B327" s="48"/>
      <c r="C327" s="48"/>
      <c r="D327" s="48"/>
      <c r="E327" s="48"/>
      <c r="F327" s="49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8.75" customHeight="1" x14ac:dyDescent="0.45">
      <c r="A328" s="48"/>
      <c r="B328" s="48"/>
      <c r="C328" s="48"/>
      <c r="D328" s="48"/>
      <c r="E328" s="48"/>
      <c r="F328" s="49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8.75" customHeight="1" x14ac:dyDescent="0.45">
      <c r="A329" s="48"/>
      <c r="B329" s="48"/>
      <c r="C329" s="48"/>
      <c r="D329" s="48"/>
      <c r="E329" s="48"/>
      <c r="F329" s="49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8.75" customHeight="1" x14ac:dyDescent="0.45">
      <c r="A330" s="48"/>
      <c r="B330" s="48"/>
      <c r="C330" s="48"/>
      <c r="D330" s="48"/>
      <c r="E330" s="48"/>
      <c r="F330" s="49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8.75" customHeight="1" x14ac:dyDescent="0.45">
      <c r="A331" s="48"/>
      <c r="B331" s="48"/>
      <c r="C331" s="48"/>
      <c r="D331" s="48"/>
      <c r="E331" s="48"/>
      <c r="F331" s="49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8.75" customHeight="1" x14ac:dyDescent="0.45">
      <c r="A332" s="48"/>
      <c r="B332" s="48"/>
      <c r="C332" s="48"/>
      <c r="D332" s="48"/>
      <c r="E332" s="48"/>
      <c r="F332" s="49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8.75" customHeight="1" x14ac:dyDescent="0.45">
      <c r="A333" s="48"/>
      <c r="B333" s="48"/>
      <c r="C333" s="48"/>
      <c r="D333" s="48"/>
      <c r="E333" s="48"/>
      <c r="F333" s="49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8.75" customHeight="1" x14ac:dyDescent="0.45">
      <c r="A334" s="48"/>
      <c r="B334" s="48"/>
      <c r="C334" s="48"/>
      <c r="D334" s="48"/>
      <c r="E334" s="48"/>
      <c r="F334" s="49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8.75" customHeight="1" x14ac:dyDescent="0.45">
      <c r="A335" s="48"/>
      <c r="B335" s="48"/>
      <c r="C335" s="48"/>
      <c r="D335" s="48"/>
      <c r="E335" s="48"/>
      <c r="F335" s="49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8.75" customHeight="1" x14ac:dyDescent="0.45">
      <c r="A336" s="48"/>
      <c r="B336" s="48"/>
      <c r="C336" s="48"/>
      <c r="D336" s="48"/>
      <c r="E336" s="48"/>
      <c r="F336" s="49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8.75" customHeight="1" x14ac:dyDescent="0.45">
      <c r="A337" s="48"/>
      <c r="B337" s="48"/>
      <c r="C337" s="48"/>
      <c r="D337" s="48"/>
      <c r="E337" s="48"/>
      <c r="F337" s="49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8.75" customHeight="1" x14ac:dyDescent="0.45">
      <c r="A338" s="48"/>
      <c r="B338" s="48"/>
      <c r="C338" s="48"/>
      <c r="D338" s="48"/>
      <c r="E338" s="48"/>
      <c r="F338" s="49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8.75" customHeight="1" x14ac:dyDescent="0.45">
      <c r="A339" s="48"/>
      <c r="B339" s="48"/>
      <c r="C339" s="48"/>
      <c r="D339" s="48"/>
      <c r="E339" s="48"/>
      <c r="F339" s="49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8.75" customHeight="1" x14ac:dyDescent="0.45">
      <c r="A340" s="48"/>
      <c r="B340" s="48"/>
      <c r="C340" s="48"/>
      <c r="D340" s="48"/>
      <c r="E340" s="48"/>
      <c r="F340" s="49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8.75" customHeight="1" x14ac:dyDescent="0.45">
      <c r="A341" s="48"/>
      <c r="B341" s="48"/>
      <c r="C341" s="48"/>
      <c r="D341" s="48"/>
      <c r="E341" s="48"/>
      <c r="F341" s="49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8.75" customHeight="1" x14ac:dyDescent="0.45">
      <c r="A342" s="48"/>
      <c r="B342" s="48"/>
      <c r="C342" s="48"/>
      <c r="D342" s="48"/>
      <c r="E342" s="48"/>
      <c r="F342" s="49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8.75" customHeight="1" x14ac:dyDescent="0.45">
      <c r="A343" s="48"/>
      <c r="B343" s="48"/>
      <c r="C343" s="48"/>
      <c r="D343" s="48"/>
      <c r="E343" s="48"/>
      <c r="F343" s="49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8.75" customHeight="1" x14ac:dyDescent="0.45">
      <c r="A344" s="48"/>
      <c r="B344" s="48"/>
      <c r="C344" s="48"/>
      <c r="D344" s="48"/>
      <c r="E344" s="48"/>
      <c r="F344" s="49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8.75" customHeight="1" x14ac:dyDescent="0.45">
      <c r="A345" s="48"/>
      <c r="B345" s="48"/>
      <c r="C345" s="48"/>
      <c r="D345" s="48"/>
      <c r="E345" s="48"/>
      <c r="F345" s="49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8.75" customHeight="1" x14ac:dyDescent="0.45">
      <c r="A346" s="48"/>
      <c r="B346" s="48"/>
      <c r="C346" s="48"/>
      <c r="D346" s="48"/>
      <c r="E346" s="48"/>
      <c r="F346" s="49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8.75" customHeight="1" x14ac:dyDescent="0.45">
      <c r="A347" s="48"/>
      <c r="B347" s="48"/>
      <c r="C347" s="48"/>
      <c r="D347" s="48"/>
      <c r="E347" s="48"/>
      <c r="F347" s="49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8.75" customHeight="1" x14ac:dyDescent="0.45">
      <c r="A348" s="48"/>
      <c r="B348" s="48"/>
      <c r="C348" s="48"/>
      <c r="D348" s="48"/>
      <c r="E348" s="48"/>
      <c r="F348" s="49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8.75" customHeight="1" x14ac:dyDescent="0.45">
      <c r="A349" s="48"/>
      <c r="B349" s="48"/>
      <c r="C349" s="48"/>
      <c r="D349" s="48"/>
      <c r="E349" s="48"/>
      <c r="F349" s="49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8.75" customHeight="1" x14ac:dyDescent="0.45">
      <c r="A350" s="48"/>
      <c r="B350" s="48"/>
      <c r="C350" s="48"/>
      <c r="D350" s="48"/>
      <c r="E350" s="48"/>
      <c r="F350" s="49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8.75" customHeight="1" x14ac:dyDescent="0.45">
      <c r="A351" s="48"/>
      <c r="B351" s="48"/>
      <c r="C351" s="48"/>
      <c r="D351" s="48"/>
      <c r="E351" s="48"/>
      <c r="F351" s="49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8.75" customHeight="1" x14ac:dyDescent="0.45">
      <c r="A352" s="48"/>
      <c r="B352" s="48"/>
      <c r="C352" s="48"/>
      <c r="D352" s="48"/>
      <c r="E352" s="48"/>
      <c r="F352" s="49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8.75" customHeight="1" x14ac:dyDescent="0.45">
      <c r="A353" s="48"/>
      <c r="B353" s="48"/>
      <c r="C353" s="48"/>
      <c r="D353" s="48"/>
      <c r="E353" s="48"/>
      <c r="F353" s="49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8.75" customHeight="1" x14ac:dyDescent="0.45">
      <c r="A354" s="48"/>
      <c r="B354" s="48"/>
      <c r="C354" s="48"/>
      <c r="D354" s="48"/>
      <c r="E354" s="48"/>
      <c r="F354" s="49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8.75" customHeight="1" x14ac:dyDescent="0.45">
      <c r="A355" s="48"/>
      <c r="B355" s="48"/>
      <c r="C355" s="48"/>
      <c r="D355" s="48"/>
      <c r="E355" s="48"/>
      <c r="F355" s="49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8.75" customHeight="1" x14ac:dyDescent="0.45">
      <c r="A356" s="48"/>
      <c r="B356" s="48"/>
      <c r="C356" s="48"/>
      <c r="D356" s="48"/>
      <c r="E356" s="48"/>
      <c r="F356" s="49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8.75" customHeight="1" x14ac:dyDescent="0.45">
      <c r="A357" s="48"/>
      <c r="B357" s="48"/>
      <c r="C357" s="48"/>
      <c r="D357" s="48"/>
      <c r="E357" s="48"/>
      <c r="F357" s="49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8.75" customHeight="1" x14ac:dyDescent="0.45">
      <c r="A358" s="48"/>
      <c r="B358" s="48"/>
      <c r="C358" s="48"/>
      <c r="D358" s="48"/>
      <c r="E358" s="48"/>
      <c r="F358" s="49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8.75" customHeight="1" x14ac:dyDescent="0.45">
      <c r="A359" s="48"/>
      <c r="B359" s="48"/>
      <c r="C359" s="48"/>
      <c r="D359" s="48"/>
      <c r="E359" s="48"/>
      <c r="F359" s="49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8.75" customHeight="1" x14ac:dyDescent="0.45">
      <c r="A360" s="48"/>
      <c r="B360" s="48"/>
      <c r="C360" s="48"/>
      <c r="D360" s="48"/>
      <c r="E360" s="48"/>
      <c r="F360" s="49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8.75" customHeight="1" x14ac:dyDescent="0.45">
      <c r="A361" s="48"/>
      <c r="B361" s="48"/>
      <c r="C361" s="48"/>
      <c r="D361" s="48"/>
      <c r="E361" s="48"/>
      <c r="F361" s="49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8.75" customHeight="1" x14ac:dyDescent="0.45">
      <c r="A362" s="48"/>
      <c r="B362" s="48"/>
      <c r="C362" s="48"/>
      <c r="D362" s="48"/>
      <c r="E362" s="48"/>
      <c r="F362" s="49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8.75" customHeight="1" x14ac:dyDescent="0.45">
      <c r="A363" s="48"/>
      <c r="B363" s="48"/>
      <c r="C363" s="48"/>
      <c r="D363" s="48"/>
      <c r="E363" s="48"/>
      <c r="F363" s="49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8.75" customHeight="1" x14ac:dyDescent="0.45">
      <c r="A364" s="48"/>
      <c r="B364" s="48"/>
      <c r="C364" s="48"/>
      <c r="D364" s="48"/>
      <c r="E364" s="48"/>
      <c r="F364" s="49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8.75" customHeight="1" x14ac:dyDescent="0.45">
      <c r="A365" s="48"/>
      <c r="B365" s="48"/>
      <c r="C365" s="48"/>
      <c r="D365" s="48"/>
      <c r="E365" s="48"/>
      <c r="F365" s="49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8.75" customHeight="1" x14ac:dyDescent="0.45">
      <c r="A366" s="48"/>
      <c r="B366" s="48"/>
      <c r="C366" s="48"/>
      <c r="D366" s="48"/>
      <c r="E366" s="48"/>
      <c r="F366" s="49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8.75" customHeight="1" x14ac:dyDescent="0.45">
      <c r="A367" s="48"/>
      <c r="B367" s="48"/>
      <c r="C367" s="48"/>
      <c r="D367" s="48"/>
      <c r="E367" s="48"/>
      <c r="F367" s="49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8.75" customHeight="1" x14ac:dyDescent="0.45">
      <c r="A368" s="48"/>
      <c r="B368" s="48"/>
      <c r="C368" s="48"/>
      <c r="D368" s="48"/>
      <c r="E368" s="48"/>
      <c r="F368" s="49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8.75" customHeight="1" x14ac:dyDescent="0.45">
      <c r="A369" s="48"/>
      <c r="B369" s="48"/>
      <c r="C369" s="48"/>
      <c r="D369" s="48"/>
      <c r="E369" s="48"/>
      <c r="F369" s="49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8.75" customHeight="1" x14ac:dyDescent="0.45">
      <c r="A370" s="48"/>
      <c r="B370" s="48"/>
      <c r="C370" s="48"/>
      <c r="D370" s="48"/>
      <c r="E370" s="48"/>
      <c r="F370" s="49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8.75" customHeight="1" x14ac:dyDescent="0.45">
      <c r="A371" s="48"/>
      <c r="B371" s="48"/>
      <c r="C371" s="48"/>
      <c r="D371" s="48"/>
      <c r="E371" s="48"/>
      <c r="F371" s="49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8.75" customHeight="1" x14ac:dyDescent="0.45">
      <c r="A372" s="48"/>
      <c r="B372" s="48"/>
      <c r="C372" s="48"/>
      <c r="D372" s="48"/>
      <c r="E372" s="48"/>
      <c r="F372" s="49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8.75" customHeight="1" x14ac:dyDescent="0.45">
      <c r="A373" s="48"/>
      <c r="B373" s="48"/>
      <c r="C373" s="48"/>
      <c r="D373" s="48"/>
      <c r="E373" s="48"/>
      <c r="F373" s="49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8.75" customHeight="1" x14ac:dyDescent="0.45">
      <c r="A374" s="48"/>
      <c r="B374" s="48"/>
      <c r="C374" s="48"/>
      <c r="D374" s="48"/>
      <c r="E374" s="48"/>
      <c r="F374" s="49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8.75" customHeight="1" x14ac:dyDescent="0.45">
      <c r="A375" s="48"/>
      <c r="B375" s="48"/>
      <c r="C375" s="48"/>
      <c r="D375" s="48"/>
      <c r="E375" s="48"/>
      <c r="F375" s="49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8.75" customHeight="1" x14ac:dyDescent="0.45">
      <c r="A376" s="48"/>
      <c r="B376" s="48"/>
      <c r="C376" s="48"/>
      <c r="D376" s="48"/>
      <c r="E376" s="48"/>
      <c r="F376" s="49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8.75" customHeight="1" x14ac:dyDescent="0.45">
      <c r="A377" s="48"/>
      <c r="B377" s="48"/>
      <c r="C377" s="48"/>
      <c r="D377" s="48"/>
      <c r="E377" s="48"/>
      <c r="F377" s="49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8.75" customHeight="1" x14ac:dyDescent="0.45">
      <c r="A378" s="48"/>
      <c r="B378" s="48"/>
      <c r="C378" s="48"/>
      <c r="D378" s="48"/>
      <c r="E378" s="48"/>
      <c r="F378" s="49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8.75" customHeight="1" x14ac:dyDescent="0.45">
      <c r="A379" s="48"/>
      <c r="B379" s="48"/>
      <c r="C379" s="48"/>
      <c r="D379" s="48"/>
      <c r="E379" s="48"/>
      <c r="F379" s="49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8.75" customHeight="1" x14ac:dyDescent="0.45">
      <c r="A380" s="48"/>
      <c r="B380" s="48"/>
      <c r="C380" s="48"/>
      <c r="D380" s="48"/>
      <c r="E380" s="48"/>
      <c r="F380" s="49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8.75" customHeight="1" x14ac:dyDescent="0.45">
      <c r="A381" s="48"/>
      <c r="B381" s="48"/>
      <c r="C381" s="48"/>
      <c r="D381" s="48"/>
      <c r="E381" s="48"/>
      <c r="F381" s="49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8.75" customHeight="1" x14ac:dyDescent="0.45">
      <c r="A382" s="48"/>
      <c r="B382" s="48"/>
      <c r="C382" s="48"/>
      <c r="D382" s="48"/>
      <c r="E382" s="48"/>
      <c r="F382" s="49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8.75" customHeight="1" x14ac:dyDescent="0.45">
      <c r="A383" s="48"/>
      <c r="B383" s="48"/>
      <c r="C383" s="48"/>
      <c r="D383" s="48"/>
      <c r="E383" s="48"/>
      <c r="F383" s="49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8.75" customHeight="1" x14ac:dyDescent="0.45">
      <c r="A384" s="48"/>
      <c r="B384" s="48"/>
      <c r="C384" s="48"/>
      <c r="D384" s="48"/>
      <c r="E384" s="48"/>
      <c r="F384" s="49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8.75" customHeight="1" x14ac:dyDescent="0.45">
      <c r="A385" s="48"/>
      <c r="B385" s="48"/>
      <c r="C385" s="48"/>
      <c r="D385" s="48"/>
      <c r="E385" s="48"/>
      <c r="F385" s="49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8.75" customHeight="1" x14ac:dyDescent="0.45">
      <c r="A386" s="48"/>
      <c r="B386" s="48"/>
      <c r="C386" s="48"/>
      <c r="D386" s="48"/>
      <c r="E386" s="48"/>
      <c r="F386" s="49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8.75" customHeight="1" x14ac:dyDescent="0.45">
      <c r="A387" s="48"/>
      <c r="B387" s="48"/>
      <c r="C387" s="48"/>
      <c r="D387" s="48"/>
      <c r="E387" s="48"/>
      <c r="F387" s="49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8.75" customHeight="1" x14ac:dyDescent="0.45">
      <c r="A388" s="48"/>
      <c r="B388" s="48"/>
      <c r="C388" s="48"/>
      <c r="D388" s="48"/>
      <c r="E388" s="48"/>
      <c r="F388" s="49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8.75" customHeight="1" x14ac:dyDescent="0.45">
      <c r="A389" s="48"/>
      <c r="B389" s="48"/>
      <c r="C389" s="48"/>
      <c r="D389" s="48"/>
      <c r="E389" s="48"/>
      <c r="F389" s="49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8.75" customHeight="1" x14ac:dyDescent="0.45">
      <c r="A390" s="48"/>
      <c r="B390" s="48"/>
      <c r="C390" s="48"/>
      <c r="D390" s="48"/>
      <c r="E390" s="48"/>
      <c r="F390" s="49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8.75" customHeight="1" x14ac:dyDescent="0.45">
      <c r="A391" s="48"/>
      <c r="B391" s="48"/>
      <c r="C391" s="48"/>
      <c r="D391" s="48"/>
      <c r="E391" s="48"/>
      <c r="F391" s="49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8.75" customHeight="1" x14ac:dyDescent="0.45">
      <c r="A392" s="48"/>
      <c r="B392" s="48"/>
      <c r="C392" s="48"/>
      <c r="D392" s="48"/>
      <c r="E392" s="48"/>
      <c r="F392" s="49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8.75" customHeight="1" x14ac:dyDescent="0.45">
      <c r="A393" s="48"/>
      <c r="B393" s="48"/>
      <c r="C393" s="48"/>
      <c r="D393" s="48"/>
      <c r="E393" s="48"/>
      <c r="F393" s="49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8.75" customHeight="1" x14ac:dyDescent="0.45">
      <c r="A394" s="48"/>
      <c r="B394" s="48"/>
      <c r="C394" s="48"/>
      <c r="D394" s="48"/>
      <c r="E394" s="48"/>
      <c r="F394" s="49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8.75" customHeight="1" x14ac:dyDescent="0.45">
      <c r="A395" s="48"/>
      <c r="B395" s="48"/>
      <c r="C395" s="48"/>
      <c r="D395" s="48"/>
      <c r="E395" s="48"/>
      <c r="F395" s="49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8.75" customHeight="1" x14ac:dyDescent="0.45">
      <c r="A396" s="48"/>
      <c r="B396" s="48"/>
      <c r="C396" s="48"/>
      <c r="D396" s="48"/>
      <c r="E396" s="48"/>
      <c r="F396" s="49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8.75" customHeight="1" x14ac:dyDescent="0.45">
      <c r="A397" s="48"/>
      <c r="B397" s="48"/>
      <c r="C397" s="48"/>
      <c r="D397" s="48"/>
      <c r="E397" s="48"/>
      <c r="F397" s="49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8.75" customHeight="1" x14ac:dyDescent="0.45">
      <c r="A398" s="48"/>
      <c r="B398" s="48"/>
      <c r="C398" s="48"/>
      <c r="D398" s="48"/>
      <c r="E398" s="48"/>
      <c r="F398" s="49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8.75" customHeight="1" x14ac:dyDescent="0.45">
      <c r="A399" s="48"/>
      <c r="B399" s="48"/>
      <c r="C399" s="48"/>
      <c r="D399" s="48"/>
      <c r="E399" s="48"/>
      <c r="F399" s="49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8.75" customHeight="1" x14ac:dyDescent="0.45">
      <c r="A400" s="48"/>
      <c r="B400" s="48"/>
      <c r="C400" s="48"/>
      <c r="D400" s="48"/>
      <c r="E400" s="48"/>
      <c r="F400" s="49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8.75" customHeight="1" x14ac:dyDescent="0.45">
      <c r="A401" s="48"/>
      <c r="B401" s="48"/>
      <c r="C401" s="48"/>
      <c r="D401" s="48"/>
      <c r="E401" s="48"/>
      <c r="F401" s="49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8.75" customHeight="1" x14ac:dyDescent="0.45">
      <c r="A402" s="48"/>
      <c r="B402" s="48"/>
      <c r="C402" s="48"/>
      <c r="D402" s="48"/>
      <c r="E402" s="48"/>
      <c r="F402" s="49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8.75" customHeight="1" x14ac:dyDescent="0.45">
      <c r="A403" s="48"/>
      <c r="B403" s="48"/>
      <c r="C403" s="48"/>
      <c r="D403" s="48"/>
      <c r="E403" s="48"/>
      <c r="F403" s="49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8.75" customHeight="1" x14ac:dyDescent="0.45">
      <c r="A404" s="48"/>
      <c r="B404" s="48"/>
      <c r="C404" s="48"/>
      <c r="D404" s="48"/>
      <c r="E404" s="48"/>
      <c r="F404" s="49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8.75" customHeight="1" x14ac:dyDescent="0.45">
      <c r="A405" s="48"/>
      <c r="B405" s="48"/>
      <c r="C405" s="48"/>
      <c r="D405" s="48"/>
      <c r="E405" s="48"/>
      <c r="F405" s="49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8.75" customHeight="1" x14ac:dyDescent="0.45">
      <c r="A406" s="48"/>
      <c r="B406" s="48"/>
      <c r="C406" s="48"/>
      <c r="D406" s="48"/>
      <c r="E406" s="48"/>
      <c r="F406" s="49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8.75" customHeight="1" x14ac:dyDescent="0.45">
      <c r="A407" s="48"/>
      <c r="B407" s="48"/>
      <c r="C407" s="48"/>
      <c r="D407" s="48"/>
      <c r="E407" s="48"/>
      <c r="F407" s="49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8.75" customHeight="1" x14ac:dyDescent="0.45">
      <c r="A408" s="48"/>
      <c r="B408" s="48"/>
      <c r="C408" s="48"/>
      <c r="D408" s="48"/>
      <c r="E408" s="48"/>
      <c r="F408" s="49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8.75" customHeight="1" x14ac:dyDescent="0.45">
      <c r="A409" s="48"/>
      <c r="B409" s="48"/>
      <c r="C409" s="48"/>
      <c r="D409" s="48"/>
      <c r="E409" s="48"/>
      <c r="F409" s="49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8.75" customHeight="1" x14ac:dyDescent="0.45">
      <c r="A410" s="48"/>
      <c r="B410" s="48"/>
      <c r="C410" s="48"/>
      <c r="D410" s="48"/>
      <c r="E410" s="48"/>
      <c r="F410" s="49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8.75" customHeight="1" x14ac:dyDescent="0.45">
      <c r="A411" s="48"/>
      <c r="B411" s="48"/>
      <c r="C411" s="48"/>
      <c r="D411" s="48"/>
      <c r="E411" s="48"/>
      <c r="F411" s="49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8.75" customHeight="1" x14ac:dyDescent="0.45">
      <c r="A412" s="48"/>
      <c r="B412" s="48"/>
      <c r="C412" s="48"/>
      <c r="D412" s="48"/>
      <c r="E412" s="48"/>
      <c r="F412" s="49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8.75" customHeight="1" x14ac:dyDescent="0.45">
      <c r="A413" s="48"/>
      <c r="B413" s="48"/>
      <c r="C413" s="48"/>
      <c r="D413" s="48"/>
      <c r="E413" s="48"/>
      <c r="F413" s="49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8.75" customHeight="1" x14ac:dyDescent="0.45">
      <c r="A414" s="48"/>
      <c r="B414" s="48"/>
      <c r="C414" s="48"/>
      <c r="D414" s="48"/>
      <c r="E414" s="48"/>
      <c r="F414" s="49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8.75" customHeight="1" x14ac:dyDescent="0.45">
      <c r="A415" s="48"/>
      <c r="B415" s="48"/>
      <c r="C415" s="48"/>
      <c r="D415" s="48"/>
      <c r="E415" s="48"/>
      <c r="F415" s="49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8.75" customHeight="1" x14ac:dyDescent="0.45">
      <c r="A416" s="48"/>
      <c r="B416" s="48"/>
      <c r="C416" s="48"/>
      <c r="D416" s="48"/>
      <c r="E416" s="48"/>
      <c r="F416" s="49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8.75" customHeight="1" x14ac:dyDescent="0.45">
      <c r="A417" s="48"/>
      <c r="B417" s="48"/>
      <c r="C417" s="48"/>
      <c r="D417" s="48"/>
      <c r="E417" s="48"/>
      <c r="F417" s="49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8.75" customHeight="1" x14ac:dyDescent="0.45">
      <c r="A418" s="48"/>
      <c r="B418" s="48"/>
      <c r="C418" s="48"/>
      <c r="D418" s="48"/>
      <c r="E418" s="48"/>
      <c r="F418" s="49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8.75" customHeight="1" x14ac:dyDescent="0.45">
      <c r="A419" s="48"/>
      <c r="B419" s="48"/>
      <c r="C419" s="48"/>
      <c r="D419" s="48"/>
      <c r="E419" s="48"/>
      <c r="F419" s="49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8.75" customHeight="1" x14ac:dyDescent="0.45">
      <c r="A420" s="48"/>
      <c r="B420" s="48"/>
      <c r="C420" s="48"/>
      <c r="D420" s="48"/>
      <c r="E420" s="48"/>
      <c r="F420" s="49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8.75" customHeight="1" x14ac:dyDescent="0.45">
      <c r="A421" s="48"/>
      <c r="B421" s="48"/>
      <c r="C421" s="48"/>
      <c r="D421" s="48"/>
      <c r="E421" s="48"/>
      <c r="F421" s="49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8.75" customHeight="1" x14ac:dyDescent="0.45">
      <c r="A422" s="48"/>
      <c r="B422" s="48"/>
      <c r="C422" s="48"/>
      <c r="D422" s="48"/>
      <c r="E422" s="48"/>
      <c r="F422" s="49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8.75" customHeight="1" x14ac:dyDescent="0.45">
      <c r="A423" s="48"/>
      <c r="B423" s="48"/>
      <c r="C423" s="48"/>
      <c r="D423" s="48"/>
      <c r="E423" s="48"/>
      <c r="F423" s="49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8.75" customHeight="1" x14ac:dyDescent="0.45">
      <c r="A424" s="48"/>
      <c r="B424" s="48"/>
      <c r="C424" s="48"/>
      <c r="D424" s="48"/>
      <c r="E424" s="48"/>
      <c r="F424" s="49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8.75" customHeight="1" x14ac:dyDescent="0.45">
      <c r="A425" s="48"/>
      <c r="B425" s="48"/>
      <c r="C425" s="48"/>
      <c r="D425" s="48"/>
      <c r="E425" s="48"/>
      <c r="F425" s="49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8.75" customHeight="1" x14ac:dyDescent="0.45">
      <c r="A426" s="48"/>
      <c r="B426" s="48"/>
      <c r="C426" s="48"/>
      <c r="D426" s="48"/>
      <c r="E426" s="48"/>
      <c r="F426" s="49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8.75" customHeight="1" x14ac:dyDescent="0.45">
      <c r="A427" s="48"/>
      <c r="B427" s="48"/>
      <c r="C427" s="48"/>
      <c r="D427" s="48"/>
      <c r="E427" s="48"/>
      <c r="F427" s="49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8.75" customHeight="1" x14ac:dyDescent="0.45">
      <c r="A428" s="48"/>
      <c r="B428" s="48"/>
      <c r="C428" s="48"/>
      <c r="D428" s="48"/>
      <c r="E428" s="48"/>
      <c r="F428" s="49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8.75" customHeight="1" x14ac:dyDescent="0.45">
      <c r="A429" s="48"/>
      <c r="B429" s="48"/>
      <c r="C429" s="48"/>
      <c r="D429" s="48"/>
      <c r="E429" s="48"/>
      <c r="F429" s="49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8.75" customHeight="1" x14ac:dyDescent="0.45">
      <c r="A430" s="48"/>
      <c r="B430" s="48"/>
      <c r="C430" s="48"/>
      <c r="D430" s="48"/>
      <c r="E430" s="48"/>
      <c r="F430" s="49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8.75" customHeight="1" x14ac:dyDescent="0.45">
      <c r="A431" s="48"/>
      <c r="B431" s="48"/>
      <c r="C431" s="48"/>
      <c r="D431" s="48"/>
      <c r="E431" s="48"/>
      <c r="F431" s="49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8.75" customHeight="1" x14ac:dyDescent="0.45">
      <c r="A432" s="48"/>
      <c r="B432" s="48"/>
      <c r="C432" s="48"/>
      <c r="D432" s="48"/>
      <c r="E432" s="48"/>
      <c r="F432" s="49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8.75" customHeight="1" x14ac:dyDescent="0.45">
      <c r="A433" s="48"/>
      <c r="B433" s="48"/>
      <c r="C433" s="48"/>
      <c r="D433" s="48"/>
      <c r="E433" s="48"/>
      <c r="F433" s="49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8.75" customHeight="1" x14ac:dyDescent="0.45">
      <c r="A434" s="48"/>
      <c r="B434" s="48"/>
      <c r="C434" s="48"/>
      <c r="D434" s="48"/>
      <c r="E434" s="48"/>
      <c r="F434" s="49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8.75" customHeight="1" x14ac:dyDescent="0.45">
      <c r="A435" s="48"/>
      <c r="B435" s="48"/>
      <c r="C435" s="48"/>
      <c r="D435" s="48"/>
      <c r="E435" s="48"/>
      <c r="F435" s="49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8.75" customHeight="1" x14ac:dyDescent="0.45">
      <c r="A436" s="48"/>
      <c r="B436" s="48"/>
      <c r="C436" s="48"/>
      <c r="D436" s="48"/>
      <c r="E436" s="48"/>
      <c r="F436" s="49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8.75" customHeight="1" x14ac:dyDescent="0.45">
      <c r="A437" s="48"/>
      <c r="B437" s="48"/>
      <c r="C437" s="48"/>
      <c r="D437" s="48"/>
      <c r="E437" s="48"/>
      <c r="F437" s="49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8.75" customHeight="1" x14ac:dyDescent="0.45">
      <c r="A438" s="48"/>
      <c r="B438" s="48"/>
      <c r="C438" s="48"/>
      <c r="D438" s="48"/>
      <c r="E438" s="48"/>
      <c r="F438" s="49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8.75" customHeight="1" x14ac:dyDescent="0.45">
      <c r="A439" s="48"/>
      <c r="B439" s="48"/>
      <c r="C439" s="48"/>
      <c r="D439" s="48"/>
      <c r="E439" s="48"/>
      <c r="F439" s="49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8.75" customHeight="1" x14ac:dyDescent="0.45">
      <c r="A440" s="48"/>
      <c r="B440" s="48"/>
      <c r="C440" s="48"/>
      <c r="D440" s="48"/>
      <c r="E440" s="48"/>
      <c r="F440" s="49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8.75" customHeight="1" x14ac:dyDescent="0.45">
      <c r="A441" s="48"/>
      <c r="B441" s="48"/>
      <c r="C441" s="48"/>
      <c r="D441" s="48"/>
      <c r="E441" s="48"/>
      <c r="F441" s="49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8.75" customHeight="1" x14ac:dyDescent="0.45">
      <c r="A442" s="48"/>
      <c r="B442" s="48"/>
      <c r="C442" s="48"/>
      <c r="D442" s="48"/>
      <c r="E442" s="48"/>
      <c r="F442" s="49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8.75" customHeight="1" x14ac:dyDescent="0.45">
      <c r="A443" s="48"/>
      <c r="B443" s="48"/>
      <c r="C443" s="48"/>
      <c r="D443" s="48"/>
      <c r="E443" s="48"/>
      <c r="F443" s="49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8.75" customHeight="1" x14ac:dyDescent="0.45">
      <c r="A444" s="48"/>
      <c r="B444" s="48"/>
      <c r="C444" s="48"/>
      <c r="D444" s="48"/>
      <c r="E444" s="48"/>
      <c r="F444" s="49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8.75" customHeight="1" x14ac:dyDescent="0.45">
      <c r="A445" s="48"/>
      <c r="B445" s="48"/>
      <c r="C445" s="48"/>
      <c r="D445" s="48"/>
      <c r="E445" s="48"/>
      <c r="F445" s="49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8.75" customHeight="1" x14ac:dyDescent="0.45">
      <c r="A446" s="48"/>
      <c r="B446" s="48"/>
      <c r="C446" s="48"/>
      <c r="D446" s="48"/>
      <c r="E446" s="48"/>
      <c r="F446" s="49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8.75" customHeight="1" x14ac:dyDescent="0.45">
      <c r="A447" s="48"/>
      <c r="B447" s="48"/>
      <c r="C447" s="48"/>
      <c r="D447" s="48"/>
      <c r="E447" s="48"/>
      <c r="F447" s="49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8.75" customHeight="1" x14ac:dyDescent="0.45">
      <c r="A448" s="48"/>
      <c r="B448" s="48"/>
      <c r="C448" s="48"/>
      <c r="D448" s="48"/>
      <c r="E448" s="48"/>
      <c r="F448" s="49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8.75" customHeight="1" x14ac:dyDescent="0.45">
      <c r="A449" s="48"/>
      <c r="B449" s="48"/>
      <c r="C449" s="48"/>
      <c r="D449" s="48"/>
      <c r="E449" s="48"/>
      <c r="F449" s="49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8.75" customHeight="1" x14ac:dyDescent="0.45">
      <c r="A450" s="48"/>
      <c r="B450" s="48"/>
      <c r="C450" s="48"/>
      <c r="D450" s="48"/>
      <c r="E450" s="48"/>
      <c r="F450" s="49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8.75" customHeight="1" x14ac:dyDescent="0.45">
      <c r="A451" s="48"/>
      <c r="B451" s="48"/>
      <c r="C451" s="48"/>
      <c r="D451" s="48"/>
      <c r="E451" s="48"/>
      <c r="F451" s="49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8.75" customHeight="1" x14ac:dyDescent="0.45">
      <c r="A452" s="48"/>
      <c r="B452" s="48"/>
      <c r="C452" s="48"/>
      <c r="D452" s="48"/>
      <c r="E452" s="48"/>
      <c r="F452" s="49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8.75" customHeight="1" x14ac:dyDescent="0.45">
      <c r="A453" s="48"/>
      <c r="B453" s="48"/>
      <c r="C453" s="48"/>
      <c r="D453" s="48"/>
      <c r="E453" s="48"/>
      <c r="F453" s="49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8.75" customHeight="1" x14ac:dyDescent="0.45">
      <c r="A454" s="48"/>
      <c r="B454" s="48"/>
      <c r="C454" s="48"/>
      <c r="D454" s="48"/>
      <c r="E454" s="48"/>
      <c r="F454" s="49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8.75" customHeight="1" x14ac:dyDescent="0.45">
      <c r="A455" s="48"/>
      <c r="B455" s="48"/>
      <c r="C455" s="48"/>
      <c r="D455" s="48"/>
      <c r="E455" s="48"/>
      <c r="F455" s="49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8.75" customHeight="1" x14ac:dyDescent="0.45">
      <c r="A456" s="48"/>
      <c r="B456" s="48"/>
      <c r="C456" s="48"/>
      <c r="D456" s="48"/>
      <c r="E456" s="48"/>
      <c r="F456" s="49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8.75" customHeight="1" x14ac:dyDescent="0.45">
      <c r="A457" s="48"/>
      <c r="B457" s="48"/>
      <c r="C457" s="48"/>
      <c r="D457" s="48"/>
      <c r="E457" s="48"/>
      <c r="F457" s="49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8.75" customHeight="1" x14ac:dyDescent="0.45">
      <c r="A458" s="48"/>
      <c r="B458" s="48"/>
      <c r="C458" s="48"/>
      <c r="D458" s="48"/>
      <c r="E458" s="48"/>
      <c r="F458" s="49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8.75" customHeight="1" x14ac:dyDescent="0.45">
      <c r="A459" s="48"/>
      <c r="B459" s="48"/>
      <c r="C459" s="48"/>
      <c r="D459" s="48"/>
      <c r="E459" s="48"/>
      <c r="F459" s="49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8.75" customHeight="1" x14ac:dyDescent="0.45">
      <c r="A460" s="48"/>
      <c r="B460" s="48"/>
      <c r="C460" s="48"/>
      <c r="D460" s="48"/>
      <c r="E460" s="48"/>
      <c r="F460" s="49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8.75" customHeight="1" x14ac:dyDescent="0.45">
      <c r="A461" s="48"/>
      <c r="B461" s="48"/>
      <c r="C461" s="48"/>
      <c r="D461" s="48"/>
      <c r="E461" s="48"/>
      <c r="F461" s="49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8.75" customHeight="1" x14ac:dyDescent="0.45">
      <c r="A462" s="48"/>
      <c r="B462" s="48"/>
      <c r="C462" s="48"/>
      <c r="D462" s="48"/>
      <c r="E462" s="48"/>
      <c r="F462" s="49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8.75" customHeight="1" x14ac:dyDescent="0.45">
      <c r="A463" s="48"/>
      <c r="B463" s="48"/>
      <c r="C463" s="48"/>
      <c r="D463" s="48"/>
      <c r="E463" s="48"/>
      <c r="F463" s="49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8.75" customHeight="1" x14ac:dyDescent="0.45">
      <c r="A464" s="48"/>
      <c r="B464" s="48"/>
      <c r="C464" s="48"/>
      <c r="D464" s="48"/>
      <c r="E464" s="48"/>
      <c r="F464" s="49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8.75" customHeight="1" x14ac:dyDescent="0.45">
      <c r="A465" s="48"/>
      <c r="B465" s="48"/>
      <c r="C465" s="48"/>
      <c r="D465" s="48"/>
      <c r="E465" s="48"/>
      <c r="F465" s="49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8.75" customHeight="1" x14ac:dyDescent="0.45">
      <c r="A466" s="48"/>
      <c r="B466" s="48"/>
      <c r="C466" s="48"/>
      <c r="D466" s="48"/>
      <c r="E466" s="48"/>
      <c r="F466" s="49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8.75" customHeight="1" x14ac:dyDescent="0.45">
      <c r="A467" s="48"/>
      <c r="B467" s="48"/>
      <c r="C467" s="48"/>
      <c r="D467" s="48"/>
      <c r="E467" s="48"/>
      <c r="F467" s="49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8.75" customHeight="1" x14ac:dyDescent="0.45">
      <c r="A468" s="48"/>
      <c r="B468" s="48"/>
      <c r="C468" s="48"/>
      <c r="D468" s="48"/>
      <c r="E468" s="48"/>
      <c r="F468" s="49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8.75" customHeight="1" x14ac:dyDescent="0.45">
      <c r="A469" s="48"/>
      <c r="B469" s="48"/>
      <c r="C469" s="48"/>
      <c r="D469" s="48"/>
      <c r="E469" s="48"/>
      <c r="F469" s="49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8.75" customHeight="1" x14ac:dyDescent="0.45">
      <c r="A470" s="48"/>
      <c r="B470" s="48"/>
      <c r="C470" s="48"/>
      <c r="D470" s="48"/>
      <c r="E470" s="48"/>
      <c r="F470" s="49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8.75" customHeight="1" x14ac:dyDescent="0.45">
      <c r="A471" s="48"/>
      <c r="B471" s="48"/>
      <c r="C471" s="48"/>
      <c r="D471" s="48"/>
      <c r="E471" s="48"/>
      <c r="F471" s="49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8.75" customHeight="1" x14ac:dyDescent="0.45">
      <c r="A472" s="48"/>
      <c r="B472" s="48"/>
      <c r="C472" s="48"/>
      <c r="D472" s="48"/>
      <c r="E472" s="48"/>
      <c r="F472" s="49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8.75" customHeight="1" x14ac:dyDescent="0.45">
      <c r="A473" s="48"/>
      <c r="B473" s="48"/>
      <c r="C473" s="48"/>
      <c r="D473" s="48"/>
      <c r="E473" s="48"/>
      <c r="F473" s="49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8.75" customHeight="1" x14ac:dyDescent="0.45">
      <c r="A474" s="48"/>
      <c r="B474" s="48"/>
      <c r="C474" s="48"/>
      <c r="D474" s="48"/>
      <c r="E474" s="48"/>
      <c r="F474" s="49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8.75" customHeight="1" x14ac:dyDescent="0.45">
      <c r="A475" s="48"/>
      <c r="B475" s="48"/>
      <c r="C475" s="48"/>
      <c r="D475" s="48"/>
      <c r="E475" s="48"/>
      <c r="F475" s="49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8.75" customHeight="1" x14ac:dyDescent="0.45">
      <c r="A476" s="48"/>
      <c r="B476" s="48"/>
      <c r="C476" s="48"/>
      <c r="D476" s="48"/>
      <c r="E476" s="48"/>
      <c r="F476" s="49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8.75" customHeight="1" x14ac:dyDescent="0.45">
      <c r="A477" s="48"/>
      <c r="B477" s="48"/>
      <c r="C477" s="48"/>
      <c r="D477" s="48"/>
      <c r="E477" s="48"/>
      <c r="F477" s="49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8.75" customHeight="1" x14ac:dyDescent="0.45">
      <c r="A478" s="48"/>
      <c r="B478" s="48"/>
      <c r="C478" s="48"/>
      <c r="D478" s="48"/>
      <c r="E478" s="48"/>
      <c r="F478" s="49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8.75" customHeight="1" x14ac:dyDescent="0.45">
      <c r="A479" s="48"/>
      <c r="B479" s="48"/>
      <c r="C479" s="48"/>
      <c r="D479" s="48"/>
      <c r="E479" s="48"/>
      <c r="F479" s="49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8.75" customHeight="1" x14ac:dyDescent="0.45">
      <c r="A480" s="48"/>
      <c r="B480" s="48"/>
      <c r="C480" s="48"/>
      <c r="D480" s="48"/>
      <c r="E480" s="48"/>
      <c r="F480" s="49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8.75" customHeight="1" x14ac:dyDescent="0.45">
      <c r="A481" s="48"/>
      <c r="B481" s="48"/>
      <c r="C481" s="48"/>
      <c r="D481" s="48"/>
      <c r="E481" s="48"/>
      <c r="F481" s="49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8.75" customHeight="1" x14ac:dyDescent="0.45">
      <c r="A482" s="48"/>
      <c r="B482" s="48"/>
      <c r="C482" s="48"/>
      <c r="D482" s="48"/>
      <c r="E482" s="48"/>
      <c r="F482" s="49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8.75" customHeight="1" x14ac:dyDescent="0.45">
      <c r="A483" s="48"/>
      <c r="B483" s="48"/>
      <c r="C483" s="48"/>
      <c r="D483" s="48"/>
      <c r="E483" s="48"/>
      <c r="F483" s="49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8.75" customHeight="1" x14ac:dyDescent="0.45">
      <c r="A484" s="48"/>
      <c r="B484" s="48"/>
      <c r="C484" s="48"/>
      <c r="D484" s="48"/>
      <c r="E484" s="48"/>
      <c r="F484" s="49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8.75" customHeight="1" x14ac:dyDescent="0.45">
      <c r="A485" s="48"/>
      <c r="B485" s="48"/>
      <c r="C485" s="48"/>
      <c r="D485" s="48"/>
      <c r="E485" s="48"/>
      <c r="F485" s="49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8.75" customHeight="1" x14ac:dyDescent="0.45">
      <c r="A486" s="48"/>
      <c r="B486" s="48"/>
      <c r="C486" s="48"/>
      <c r="D486" s="48"/>
      <c r="E486" s="48"/>
      <c r="F486" s="49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8.75" customHeight="1" x14ac:dyDescent="0.45">
      <c r="A487" s="48"/>
      <c r="B487" s="48"/>
      <c r="C487" s="48"/>
      <c r="D487" s="48"/>
      <c r="E487" s="48"/>
      <c r="F487" s="49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8.75" customHeight="1" x14ac:dyDescent="0.45">
      <c r="A488" s="48"/>
      <c r="B488" s="48"/>
      <c r="C488" s="48"/>
      <c r="D488" s="48"/>
      <c r="E488" s="48"/>
      <c r="F488" s="49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8.75" customHeight="1" x14ac:dyDescent="0.45">
      <c r="A489" s="48"/>
      <c r="B489" s="48"/>
      <c r="C489" s="48"/>
      <c r="D489" s="48"/>
      <c r="E489" s="48"/>
      <c r="F489" s="49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8.75" customHeight="1" x14ac:dyDescent="0.45">
      <c r="A490" s="48"/>
      <c r="B490" s="48"/>
      <c r="C490" s="48"/>
      <c r="D490" s="48"/>
      <c r="E490" s="48"/>
      <c r="F490" s="49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8.75" customHeight="1" x14ac:dyDescent="0.45">
      <c r="A491" s="48"/>
      <c r="B491" s="48"/>
      <c r="C491" s="48"/>
      <c r="D491" s="48"/>
      <c r="E491" s="48"/>
      <c r="F491" s="49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8.75" customHeight="1" x14ac:dyDescent="0.45">
      <c r="A492" s="48"/>
      <c r="B492" s="48"/>
      <c r="C492" s="48"/>
      <c r="D492" s="48"/>
      <c r="E492" s="48"/>
      <c r="F492" s="49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8.75" customHeight="1" x14ac:dyDescent="0.45">
      <c r="A493" s="48"/>
      <c r="B493" s="48"/>
      <c r="C493" s="48"/>
      <c r="D493" s="48"/>
      <c r="E493" s="48"/>
      <c r="F493" s="49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8.75" customHeight="1" x14ac:dyDescent="0.45">
      <c r="A494" s="48"/>
      <c r="B494" s="48"/>
      <c r="C494" s="48"/>
      <c r="D494" s="48"/>
      <c r="E494" s="48"/>
      <c r="F494" s="49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8.75" customHeight="1" x14ac:dyDescent="0.45">
      <c r="A495" s="48"/>
      <c r="B495" s="48"/>
      <c r="C495" s="48"/>
      <c r="D495" s="48"/>
      <c r="E495" s="48"/>
      <c r="F495" s="49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8.75" customHeight="1" x14ac:dyDescent="0.45">
      <c r="A496" s="48"/>
      <c r="B496" s="48"/>
      <c r="C496" s="48"/>
      <c r="D496" s="48"/>
      <c r="E496" s="48"/>
      <c r="F496" s="49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8.75" customHeight="1" x14ac:dyDescent="0.45">
      <c r="A497" s="48"/>
      <c r="B497" s="48"/>
      <c r="C497" s="48"/>
      <c r="D497" s="48"/>
      <c r="E497" s="48"/>
      <c r="F497" s="49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8.75" customHeight="1" x14ac:dyDescent="0.45">
      <c r="A498" s="48"/>
      <c r="B498" s="48"/>
      <c r="C498" s="48"/>
      <c r="D498" s="48"/>
      <c r="E498" s="48"/>
      <c r="F498" s="49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8.75" customHeight="1" x14ac:dyDescent="0.45">
      <c r="A499" s="48"/>
      <c r="B499" s="48"/>
      <c r="C499" s="48"/>
      <c r="D499" s="48"/>
      <c r="E499" s="48"/>
      <c r="F499" s="49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8.75" customHeight="1" x14ac:dyDescent="0.45">
      <c r="A500" s="48"/>
      <c r="B500" s="48"/>
      <c r="C500" s="48"/>
      <c r="D500" s="48"/>
      <c r="E500" s="48"/>
      <c r="F500" s="49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8.75" customHeight="1" x14ac:dyDescent="0.45">
      <c r="A501" s="48"/>
      <c r="B501" s="48"/>
      <c r="C501" s="48"/>
      <c r="D501" s="48"/>
      <c r="E501" s="48"/>
      <c r="F501" s="49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8.75" customHeight="1" x14ac:dyDescent="0.45">
      <c r="A502" s="48"/>
      <c r="B502" s="48"/>
      <c r="C502" s="48"/>
      <c r="D502" s="48"/>
      <c r="E502" s="48"/>
      <c r="F502" s="49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8.75" customHeight="1" x14ac:dyDescent="0.45">
      <c r="A503" s="48"/>
      <c r="B503" s="48"/>
      <c r="C503" s="48"/>
      <c r="D503" s="48"/>
      <c r="E503" s="48"/>
      <c r="F503" s="49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8.75" customHeight="1" x14ac:dyDescent="0.45">
      <c r="A504" s="48"/>
      <c r="B504" s="48"/>
      <c r="C504" s="48"/>
      <c r="D504" s="48"/>
      <c r="E504" s="48"/>
      <c r="F504" s="49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8.75" customHeight="1" x14ac:dyDescent="0.45">
      <c r="A505" s="48"/>
      <c r="B505" s="48"/>
      <c r="C505" s="48"/>
      <c r="D505" s="48"/>
      <c r="E505" s="48"/>
      <c r="F505" s="49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8.75" customHeight="1" x14ac:dyDescent="0.45">
      <c r="A506" s="48"/>
      <c r="B506" s="48"/>
      <c r="C506" s="48"/>
      <c r="D506" s="48"/>
      <c r="E506" s="48"/>
      <c r="F506" s="49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8.75" customHeight="1" x14ac:dyDescent="0.45">
      <c r="A507" s="48"/>
      <c r="B507" s="48"/>
      <c r="C507" s="48"/>
      <c r="D507" s="48"/>
      <c r="E507" s="48"/>
      <c r="F507" s="49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8.75" customHeight="1" x14ac:dyDescent="0.45">
      <c r="A508" s="48"/>
      <c r="B508" s="48"/>
      <c r="C508" s="48"/>
      <c r="D508" s="48"/>
      <c r="E508" s="48"/>
      <c r="F508" s="49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8.75" customHeight="1" x14ac:dyDescent="0.45">
      <c r="A509" s="48"/>
      <c r="B509" s="48"/>
      <c r="C509" s="48"/>
      <c r="D509" s="48"/>
      <c r="E509" s="48"/>
      <c r="F509" s="49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8.75" customHeight="1" x14ac:dyDescent="0.45">
      <c r="A510" s="48"/>
      <c r="B510" s="48"/>
      <c r="C510" s="48"/>
      <c r="D510" s="48"/>
      <c r="E510" s="48"/>
      <c r="F510" s="49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8.75" customHeight="1" x14ac:dyDescent="0.45">
      <c r="A511" s="48"/>
      <c r="B511" s="48"/>
      <c r="C511" s="48"/>
      <c r="D511" s="48"/>
      <c r="E511" s="48"/>
      <c r="F511" s="49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8.75" customHeight="1" x14ac:dyDescent="0.45">
      <c r="A512" s="48"/>
      <c r="B512" s="48"/>
      <c r="C512" s="48"/>
      <c r="D512" s="48"/>
      <c r="E512" s="48"/>
      <c r="F512" s="49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8.75" customHeight="1" x14ac:dyDescent="0.45">
      <c r="A513" s="48"/>
      <c r="B513" s="48"/>
      <c r="C513" s="48"/>
      <c r="D513" s="48"/>
      <c r="E513" s="48"/>
      <c r="F513" s="49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8.75" customHeight="1" x14ac:dyDescent="0.45">
      <c r="A514" s="48"/>
      <c r="B514" s="48"/>
      <c r="C514" s="48"/>
      <c r="D514" s="48"/>
      <c r="E514" s="48"/>
      <c r="F514" s="49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8.75" customHeight="1" x14ac:dyDescent="0.45">
      <c r="A515" s="48"/>
      <c r="B515" s="48"/>
      <c r="C515" s="48"/>
      <c r="D515" s="48"/>
      <c r="E515" s="48"/>
      <c r="F515" s="49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8.75" customHeight="1" x14ac:dyDescent="0.45">
      <c r="A516" s="48"/>
      <c r="B516" s="48"/>
      <c r="C516" s="48"/>
      <c r="D516" s="48"/>
      <c r="E516" s="48"/>
      <c r="F516" s="49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8.75" customHeight="1" x14ac:dyDescent="0.45">
      <c r="A517" s="48"/>
      <c r="B517" s="48"/>
      <c r="C517" s="48"/>
      <c r="D517" s="48"/>
      <c r="E517" s="48"/>
      <c r="F517" s="49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8.75" customHeight="1" x14ac:dyDescent="0.45">
      <c r="A518" s="48"/>
      <c r="B518" s="48"/>
      <c r="C518" s="48"/>
      <c r="D518" s="48"/>
      <c r="E518" s="48"/>
      <c r="F518" s="49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8.75" customHeight="1" x14ac:dyDescent="0.45">
      <c r="A519" s="48"/>
      <c r="B519" s="48"/>
      <c r="C519" s="48"/>
      <c r="D519" s="48"/>
      <c r="E519" s="48"/>
      <c r="F519" s="49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8.75" customHeight="1" x14ac:dyDescent="0.45">
      <c r="A520" s="48"/>
      <c r="B520" s="48"/>
      <c r="C520" s="48"/>
      <c r="D520" s="48"/>
      <c r="E520" s="48"/>
      <c r="F520" s="49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8.75" customHeight="1" x14ac:dyDescent="0.45">
      <c r="A521" s="48"/>
      <c r="B521" s="48"/>
      <c r="C521" s="48"/>
      <c r="D521" s="48"/>
      <c r="E521" s="48"/>
      <c r="F521" s="49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8.75" customHeight="1" x14ac:dyDescent="0.45">
      <c r="A522" s="48"/>
      <c r="B522" s="48"/>
      <c r="C522" s="48"/>
      <c r="D522" s="48"/>
      <c r="E522" s="48"/>
      <c r="F522" s="49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8.75" customHeight="1" x14ac:dyDescent="0.45">
      <c r="A523" s="48"/>
      <c r="B523" s="48"/>
      <c r="C523" s="48"/>
      <c r="D523" s="48"/>
      <c r="E523" s="48"/>
      <c r="F523" s="49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8.75" customHeight="1" x14ac:dyDescent="0.45">
      <c r="A524" s="48"/>
      <c r="B524" s="48"/>
      <c r="C524" s="48"/>
      <c r="D524" s="48"/>
      <c r="E524" s="48"/>
      <c r="F524" s="49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8.75" customHeight="1" x14ac:dyDescent="0.45">
      <c r="A525" s="48"/>
      <c r="B525" s="48"/>
      <c r="C525" s="48"/>
      <c r="D525" s="48"/>
      <c r="E525" s="48"/>
      <c r="F525" s="49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8.75" customHeight="1" x14ac:dyDescent="0.45">
      <c r="A526" s="48"/>
      <c r="B526" s="48"/>
      <c r="C526" s="48"/>
      <c r="D526" s="48"/>
      <c r="E526" s="48"/>
      <c r="F526" s="49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8.75" customHeight="1" x14ac:dyDescent="0.45">
      <c r="A527" s="48"/>
      <c r="B527" s="48"/>
      <c r="C527" s="48"/>
      <c r="D527" s="48"/>
      <c r="E527" s="48"/>
      <c r="F527" s="49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8.75" customHeight="1" x14ac:dyDescent="0.45">
      <c r="A528" s="48"/>
      <c r="B528" s="48"/>
      <c r="C528" s="48"/>
      <c r="D528" s="48"/>
      <c r="E528" s="48"/>
      <c r="F528" s="49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8.75" customHeight="1" x14ac:dyDescent="0.45">
      <c r="A529" s="48"/>
      <c r="B529" s="48"/>
      <c r="C529" s="48"/>
      <c r="D529" s="48"/>
      <c r="E529" s="48"/>
      <c r="F529" s="49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8.75" customHeight="1" x14ac:dyDescent="0.45">
      <c r="A530" s="48"/>
      <c r="B530" s="48"/>
      <c r="C530" s="48"/>
      <c r="D530" s="48"/>
      <c r="E530" s="48"/>
      <c r="F530" s="49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8.75" customHeight="1" x14ac:dyDescent="0.45">
      <c r="A531" s="48"/>
      <c r="B531" s="48"/>
      <c r="C531" s="48"/>
      <c r="D531" s="48"/>
      <c r="E531" s="48"/>
      <c r="F531" s="49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8.75" customHeight="1" x14ac:dyDescent="0.45">
      <c r="A532" s="48"/>
      <c r="B532" s="48"/>
      <c r="C532" s="48"/>
      <c r="D532" s="48"/>
      <c r="E532" s="48"/>
      <c r="F532" s="49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8.75" customHeight="1" x14ac:dyDescent="0.45">
      <c r="A533" s="48"/>
      <c r="B533" s="48"/>
      <c r="C533" s="48"/>
      <c r="D533" s="48"/>
      <c r="E533" s="48"/>
      <c r="F533" s="49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8.75" customHeight="1" x14ac:dyDescent="0.45">
      <c r="A534" s="48"/>
      <c r="B534" s="48"/>
      <c r="C534" s="48"/>
      <c r="D534" s="48"/>
      <c r="E534" s="48"/>
      <c r="F534" s="49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8.75" customHeight="1" x14ac:dyDescent="0.45">
      <c r="A535" s="48"/>
      <c r="B535" s="48"/>
      <c r="C535" s="48"/>
      <c r="D535" s="48"/>
      <c r="E535" s="48"/>
      <c r="F535" s="49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8.75" customHeight="1" x14ac:dyDescent="0.45">
      <c r="A536" s="48"/>
      <c r="B536" s="48"/>
      <c r="C536" s="48"/>
      <c r="D536" s="48"/>
      <c r="E536" s="48"/>
      <c r="F536" s="49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8.75" customHeight="1" x14ac:dyDescent="0.45">
      <c r="A537" s="48"/>
      <c r="B537" s="48"/>
      <c r="C537" s="48"/>
      <c r="D537" s="48"/>
      <c r="E537" s="48"/>
      <c r="F537" s="49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8.75" customHeight="1" x14ac:dyDescent="0.45">
      <c r="A538" s="48"/>
      <c r="B538" s="48"/>
      <c r="C538" s="48"/>
      <c r="D538" s="48"/>
      <c r="E538" s="48"/>
      <c r="F538" s="49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8.75" customHeight="1" x14ac:dyDescent="0.45">
      <c r="A539" s="48"/>
      <c r="B539" s="48"/>
      <c r="C539" s="48"/>
      <c r="D539" s="48"/>
      <c r="E539" s="48"/>
      <c r="F539" s="49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8.75" customHeight="1" x14ac:dyDescent="0.45">
      <c r="A540" s="48"/>
      <c r="B540" s="48"/>
      <c r="C540" s="48"/>
      <c r="D540" s="48"/>
      <c r="E540" s="48"/>
      <c r="F540" s="49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8.75" customHeight="1" x14ac:dyDescent="0.45">
      <c r="A541" s="48"/>
      <c r="B541" s="48"/>
      <c r="C541" s="48"/>
      <c r="D541" s="48"/>
      <c r="E541" s="48"/>
      <c r="F541" s="49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8.75" customHeight="1" x14ac:dyDescent="0.45">
      <c r="A542" s="48"/>
      <c r="B542" s="48"/>
      <c r="C542" s="48"/>
      <c r="D542" s="48"/>
      <c r="E542" s="48"/>
      <c r="F542" s="49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8.75" customHeight="1" x14ac:dyDescent="0.45">
      <c r="A543" s="48"/>
      <c r="B543" s="48"/>
      <c r="C543" s="48"/>
      <c r="D543" s="48"/>
      <c r="E543" s="48"/>
      <c r="F543" s="49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8.75" customHeight="1" x14ac:dyDescent="0.45">
      <c r="A544" s="48"/>
      <c r="B544" s="48"/>
      <c r="C544" s="48"/>
      <c r="D544" s="48"/>
      <c r="E544" s="48"/>
      <c r="F544" s="49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8.75" customHeight="1" x14ac:dyDescent="0.45">
      <c r="A545" s="48"/>
      <c r="B545" s="48"/>
      <c r="C545" s="48"/>
      <c r="D545" s="48"/>
      <c r="E545" s="48"/>
      <c r="F545" s="49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8.75" customHeight="1" x14ac:dyDescent="0.45">
      <c r="A546" s="48"/>
      <c r="B546" s="48"/>
      <c r="C546" s="48"/>
      <c r="D546" s="48"/>
      <c r="E546" s="48"/>
      <c r="F546" s="49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8.75" customHeight="1" x14ac:dyDescent="0.45">
      <c r="A547" s="48"/>
      <c r="B547" s="48"/>
      <c r="C547" s="48"/>
      <c r="D547" s="48"/>
      <c r="E547" s="48"/>
      <c r="F547" s="49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8.75" customHeight="1" x14ac:dyDescent="0.45">
      <c r="A548" s="48"/>
      <c r="B548" s="48"/>
      <c r="C548" s="48"/>
      <c r="D548" s="48"/>
      <c r="E548" s="48"/>
      <c r="F548" s="49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8.75" customHeight="1" x14ac:dyDescent="0.45">
      <c r="A549" s="48"/>
      <c r="B549" s="48"/>
      <c r="C549" s="48"/>
      <c r="D549" s="48"/>
      <c r="E549" s="48"/>
      <c r="F549" s="49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8.75" customHeight="1" x14ac:dyDescent="0.45">
      <c r="A550" s="48"/>
      <c r="B550" s="48"/>
      <c r="C550" s="48"/>
      <c r="D550" s="48"/>
      <c r="E550" s="48"/>
      <c r="F550" s="49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8.75" customHeight="1" x14ac:dyDescent="0.45">
      <c r="A551" s="48"/>
      <c r="B551" s="48"/>
      <c r="C551" s="48"/>
      <c r="D551" s="48"/>
      <c r="E551" s="48"/>
      <c r="F551" s="49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8.75" customHeight="1" x14ac:dyDescent="0.45">
      <c r="A552" s="48"/>
      <c r="B552" s="48"/>
      <c r="C552" s="48"/>
      <c r="D552" s="48"/>
      <c r="E552" s="48"/>
      <c r="F552" s="49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8.75" customHeight="1" x14ac:dyDescent="0.45">
      <c r="A553" s="48"/>
      <c r="B553" s="48"/>
      <c r="C553" s="48"/>
      <c r="D553" s="48"/>
      <c r="E553" s="48"/>
      <c r="F553" s="49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8.75" customHeight="1" x14ac:dyDescent="0.45">
      <c r="A554" s="48"/>
      <c r="B554" s="48"/>
      <c r="C554" s="48"/>
      <c r="D554" s="48"/>
      <c r="E554" s="48"/>
      <c r="F554" s="49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8.75" customHeight="1" x14ac:dyDescent="0.45">
      <c r="A555" s="48"/>
      <c r="B555" s="48"/>
      <c r="C555" s="48"/>
      <c r="D555" s="48"/>
      <c r="E555" s="48"/>
      <c r="F555" s="49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8.75" customHeight="1" x14ac:dyDescent="0.45">
      <c r="A556" s="48"/>
      <c r="B556" s="48"/>
      <c r="C556" s="48"/>
      <c r="D556" s="48"/>
      <c r="E556" s="48"/>
      <c r="F556" s="49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8.75" customHeight="1" x14ac:dyDescent="0.45">
      <c r="A557" s="48"/>
      <c r="B557" s="48"/>
      <c r="C557" s="48"/>
      <c r="D557" s="48"/>
      <c r="E557" s="48"/>
      <c r="F557" s="49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8.75" customHeight="1" x14ac:dyDescent="0.45">
      <c r="A558" s="48"/>
      <c r="B558" s="48"/>
      <c r="C558" s="48"/>
      <c r="D558" s="48"/>
      <c r="E558" s="48"/>
      <c r="F558" s="49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8.75" customHeight="1" x14ac:dyDescent="0.45">
      <c r="A559" s="48"/>
      <c r="B559" s="48"/>
      <c r="C559" s="48"/>
      <c r="D559" s="48"/>
      <c r="E559" s="48"/>
      <c r="F559" s="49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8.75" customHeight="1" x14ac:dyDescent="0.45">
      <c r="A560" s="48"/>
      <c r="B560" s="48"/>
      <c r="C560" s="48"/>
      <c r="D560" s="48"/>
      <c r="E560" s="48"/>
      <c r="F560" s="49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8.75" customHeight="1" x14ac:dyDescent="0.45">
      <c r="A561" s="48"/>
      <c r="B561" s="48"/>
      <c r="C561" s="48"/>
      <c r="D561" s="48"/>
      <c r="E561" s="48"/>
      <c r="F561" s="49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8.75" customHeight="1" x14ac:dyDescent="0.45">
      <c r="A562" s="48"/>
      <c r="B562" s="48"/>
      <c r="C562" s="48"/>
      <c r="D562" s="48"/>
      <c r="E562" s="48"/>
      <c r="F562" s="49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8.75" customHeight="1" x14ac:dyDescent="0.45">
      <c r="A563" s="48"/>
      <c r="B563" s="48"/>
      <c r="C563" s="48"/>
      <c r="D563" s="48"/>
      <c r="E563" s="48"/>
      <c r="F563" s="49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8.75" customHeight="1" x14ac:dyDescent="0.45">
      <c r="A564" s="48"/>
      <c r="B564" s="48"/>
      <c r="C564" s="48"/>
      <c r="D564" s="48"/>
      <c r="E564" s="48"/>
      <c r="F564" s="49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8.75" customHeight="1" x14ac:dyDescent="0.45">
      <c r="A565" s="48"/>
      <c r="B565" s="48"/>
      <c r="C565" s="48"/>
      <c r="D565" s="48"/>
      <c r="E565" s="48"/>
      <c r="F565" s="49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8.75" customHeight="1" x14ac:dyDescent="0.45">
      <c r="A566" s="48"/>
      <c r="B566" s="48"/>
      <c r="C566" s="48"/>
      <c r="D566" s="48"/>
      <c r="E566" s="48"/>
      <c r="F566" s="49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8.75" customHeight="1" x14ac:dyDescent="0.45">
      <c r="A567" s="48"/>
      <c r="B567" s="48"/>
      <c r="C567" s="48"/>
      <c r="D567" s="48"/>
      <c r="E567" s="48"/>
      <c r="F567" s="49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8.75" customHeight="1" x14ac:dyDescent="0.45">
      <c r="A568" s="48"/>
      <c r="B568" s="48"/>
      <c r="C568" s="48"/>
      <c r="D568" s="48"/>
      <c r="E568" s="48"/>
      <c r="F568" s="49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8.75" customHeight="1" x14ac:dyDescent="0.45">
      <c r="A569" s="48"/>
      <c r="B569" s="48"/>
      <c r="C569" s="48"/>
      <c r="D569" s="48"/>
      <c r="E569" s="48"/>
      <c r="F569" s="49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8.75" customHeight="1" x14ac:dyDescent="0.45">
      <c r="A570" s="48"/>
      <c r="B570" s="48"/>
      <c r="C570" s="48"/>
      <c r="D570" s="48"/>
      <c r="E570" s="48"/>
      <c r="F570" s="49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8.75" customHeight="1" x14ac:dyDescent="0.45">
      <c r="A571" s="48"/>
      <c r="B571" s="48"/>
      <c r="C571" s="48"/>
      <c r="D571" s="48"/>
      <c r="E571" s="48"/>
      <c r="F571" s="49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8.75" customHeight="1" x14ac:dyDescent="0.45">
      <c r="A572" s="48"/>
      <c r="B572" s="48"/>
      <c r="C572" s="48"/>
      <c r="D572" s="48"/>
      <c r="E572" s="48"/>
      <c r="F572" s="49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8.75" customHeight="1" x14ac:dyDescent="0.45">
      <c r="A573" s="48"/>
      <c r="B573" s="48"/>
      <c r="C573" s="48"/>
      <c r="D573" s="48"/>
      <c r="E573" s="48"/>
      <c r="F573" s="49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8.75" customHeight="1" x14ac:dyDescent="0.45">
      <c r="A574" s="48"/>
      <c r="B574" s="48"/>
      <c r="C574" s="48"/>
      <c r="D574" s="48"/>
      <c r="E574" s="48"/>
      <c r="F574" s="49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8.75" customHeight="1" x14ac:dyDescent="0.45">
      <c r="A575" s="48"/>
      <c r="B575" s="48"/>
      <c r="C575" s="48"/>
      <c r="D575" s="48"/>
      <c r="E575" s="48"/>
      <c r="F575" s="49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8.75" customHeight="1" x14ac:dyDescent="0.45">
      <c r="A576" s="48"/>
      <c r="B576" s="48"/>
      <c r="C576" s="48"/>
      <c r="D576" s="48"/>
      <c r="E576" s="48"/>
      <c r="F576" s="49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8.75" customHeight="1" x14ac:dyDescent="0.45">
      <c r="A577" s="48"/>
      <c r="B577" s="48"/>
      <c r="C577" s="48"/>
      <c r="D577" s="48"/>
      <c r="E577" s="48"/>
      <c r="F577" s="49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8.75" customHeight="1" x14ac:dyDescent="0.45">
      <c r="A578" s="48"/>
      <c r="B578" s="48"/>
      <c r="C578" s="48"/>
      <c r="D578" s="48"/>
      <c r="E578" s="48"/>
      <c r="F578" s="49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8.75" customHeight="1" x14ac:dyDescent="0.45">
      <c r="A579" s="48"/>
      <c r="B579" s="48"/>
      <c r="C579" s="48"/>
      <c r="D579" s="48"/>
      <c r="E579" s="48"/>
      <c r="F579" s="49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8.75" customHeight="1" x14ac:dyDescent="0.45">
      <c r="A580" s="48"/>
      <c r="B580" s="48"/>
      <c r="C580" s="48"/>
      <c r="D580" s="48"/>
      <c r="E580" s="48"/>
      <c r="F580" s="49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8.75" customHeight="1" x14ac:dyDescent="0.45">
      <c r="A581" s="48"/>
      <c r="B581" s="48"/>
      <c r="C581" s="48"/>
      <c r="D581" s="48"/>
      <c r="E581" s="48"/>
      <c r="F581" s="49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8.75" customHeight="1" x14ac:dyDescent="0.45">
      <c r="A582" s="48"/>
      <c r="B582" s="48"/>
      <c r="C582" s="48"/>
      <c r="D582" s="48"/>
      <c r="E582" s="48"/>
      <c r="F582" s="49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8.75" customHeight="1" x14ac:dyDescent="0.45">
      <c r="A583" s="48"/>
      <c r="B583" s="48"/>
      <c r="C583" s="48"/>
      <c r="D583" s="48"/>
      <c r="E583" s="48"/>
      <c r="F583" s="49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8.75" customHeight="1" x14ac:dyDescent="0.45">
      <c r="A584" s="48"/>
      <c r="B584" s="48"/>
      <c r="C584" s="48"/>
      <c r="D584" s="48"/>
      <c r="E584" s="48"/>
      <c r="F584" s="49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8.75" customHeight="1" x14ac:dyDescent="0.45">
      <c r="A585" s="48"/>
      <c r="B585" s="48"/>
      <c r="C585" s="48"/>
      <c r="D585" s="48"/>
      <c r="E585" s="48"/>
      <c r="F585" s="49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8.75" customHeight="1" x14ac:dyDescent="0.45">
      <c r="A586" s="48"/>
      <c r="B586" s="48"/>
      <c r="C586" s="48"/>
      <c r="D586" s="48"/>
      <c r="E586" s="48"/>
      <c r="F586" s="49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8.75" customHeight="1" x14ac:dyDescent="0.45">
      <c r="A587" s="48"/>
      <c r="B587" s="48"/>
      <c r="C587" s="48"/>
      <c r="D587" s="48"/>
      <c r="E587" s="48"/>
      <c r="F587" s="49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8.75" customHeight="1" x14ac:dyDescent="0.45">
      <c r="A588" s="48"/>
      <c r="B588" s="48"/>
      <c r="C588" s="48"/>
      <c r="D588" s="48"/>
      <c r="E588" s="48"/>
      <c r="F588" s="49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8.75" customHeight="1" x14ac:dyDescent="0.45">
      <c r="A589" s="48"/>
      <c r="B589" s="48"/>
      <c r="C589" s="48"/>
      <c r="D589" s="48"/>
      <c r="E589" s="48"/>
      <c r="F589" s="49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8.75" customHeight="1" x14ac:dyDescent="0.45">
      <c r="A590" s="48"/>
      <c r="B590" s="48"/>
      <c r="C590" s="48"/>
      <c r="D590" s="48"/>
      <c r="E590" s="48"/>
      <c r="F590" s="49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8.75" customHeight="1" x14ac:dyDescent="0.45">
      <c r="A591" s="48"/>
      <c r="B591" s="48"/>
      <c r="C591" s="48"/>
      <c r="D591" s="48"/>
      <c r="E591" s="48"/>
      <c r="F591" s="49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8.75" customHeight="1" x14ac:dyDescent="0.45">
      <c r="A592" s="48"/>
      <c r="B592" s="48"/>
      <c r="C592" s="48"/>
      <c r="D592" s="48"/>
      <c r="E592" s="48"/>
      <c r="F592" s="49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8.75" customHeight="1" x14ac:dyDescent="0.45">
      <c r="A593" s="48"/>
      <c r="B593" s="48"/>
      <c r="C593" s="48"/>
      <c r="D593" s="48"/>
      <c r="E593" s="48"/>
      <c r="F593" s="49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8.75" customHeight="1" x14ac:dyDescent="0.45">
      <c r="A594" s="48"/>
      <c r="B594" s="48"/>
      <c r="C594" s="48"/>
      <c r="D594" s="48"/>
      <c r="E594" s="48"/>
      <c r="F594" s="49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8.75" customHeight="1" x14ac:dyDescent="0.45">
      <c r="A595" s="48"/>
      <c r="B595" s="48"/>
      <c r="C595" s="48"/>
      <c r="D595" s="48"/>
      <c r="E595" s="48"/>
      <c r="F595" s="49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8.75" customHeight="1" x14ac:dyDescent="0.45">
      <c r="A596" s="48"/>
      <c r="B596" s="48"/>
      <c r="C596" s="48"/>
      <c r="D596" s="48"/>
      <c r="E596" s="48"/>
      <c r="F596" s="49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8.75" customHeight="1" x14ac:dyDescent="0.45">
      <c r="A597" s="48"/>
      <c r="B597" s="48"/>
      <c r="C597" s="48"/>
      <c r="D597" s="48"/>
      <c r="E597" s="48"/>
      <c r="F597" s="49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8.75" customHeight="1" x14ac:dyDescent="0.45">
      <c r="A598" s="48"/>
      <c r="B598" s="48"/>
      <c r="C598" s="48"/>
      <c r="D598" s="48"/>
      <c r="E598" s="48"/>
      <c r="F598" s="49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8.75" customHeight="1" x14ac:dyDescent="0.45">
      <c r="A599" s="48"/>
      <c r="B599" s="48"/>
      <c r="C599" s="48"/>
      <c r="D599" s="48"/>
      <c r="E599" s="48"/>
      <c r="F599" s="49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8.75" customHeight="1" x14ac:dyDescent="0.45">
      <c r="A600" s="48"/>
      <c r="B600" s="48"/>
      <c r="C600" s="48"/>
      <c r="D600" s="48"/>
      <c r="E600" s="48"/>
      <c r="F600" s="49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8.75" customHeight="1" x14ac:dyDescent="0.45">
      <c r="A601" s="48"/>
      <c r="B601" s="48"/>
      <c r="C601" s="48"/>
      <c r="D601" s="48"/>
      <c r="E601" s="48"/>
      <c r="F601" s="49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8.75" customHeight="1" x14ac:dyDescent="0.45">
      <c r="A602" s="48"/>
      <c r="B602" s="48"/>
      <c r="C602" s="48"/>
      <c r="D602" s="48"/>
      <c r="E602" s="48"/>
      <c r="F602" s="49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8.75" customHeight="1" x14ac:dyDescent="0.45">
      <c r="A603" s="48"/>
      <c r="B603" s="48"/>
      <c r="C603" s="48"/>
      <c r="D603" s="48"/>
      <c r="E603" s="48"/>
      <c r="F603" s="49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8.75" customHeight="1" x14ac:dyDescent="0.45">
      <c r="A604" s="48"/>
      <c r="B604" s="48"/>
      <c r="C604" s="48"/>
      <c r="D604" s="48"/>
      <c r="E604" s="48"/>
      <c r="F604" s="49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8.75" customHeight="1" x14ac:dyDescent="0.45">
      <c r="A605" s="48"/>
      <c r="B605" s="48"/>
      <c r="C605" s="48"/>
      <c r="D605" s="48"/>
      <c r="E605" s="48"/>
      <c r="F605" s="49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8.75" customHeight="1" x14ac:dyDescent="0.45">
      <c r="A606" s="48"/>
      <c r="B606" s="48"/>
      <c r="C606" s="48"/>
      <c r="D606" s="48"/>
      <c r="E606" s="48"/>
      <c r="F606" s="49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8.75" customHeight="1" x14ac:dyDescent="0.45">
      <c r="A607" s="48"/>
      <c r="B607" s="48"/>
      <c r="C607" s="48"/>
      <c r="D607" s="48"/>
      <c r="E607" s="48"/>
      <c r="F607" s="49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8.75" customHeight="1" x14ac:dyDescent="0.45">
      <c r="A608" s="48"/>
      <c r="B608" s="48"/>
      <c r="C608" s="48"/>
      <c r="D608" s="48"/>
      <c r="E608" s="48"/>
      <c r="F608" s="49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8.75" customHeight="1" x14ac:dyDescent="0.45">
      <c r="A609" s="48"/>
      <c r="B609" s="48"/>
      <c r="C609" s="48"/>
      <c r="D609" s="48"/>
      <c r="E609" s="48"/>
      <c r="F609" s="49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8.75" customHeight="1" x14ac:dyDescent="0.45">
      <c r="A610" s="48"/>
      <c r="B610" s="48"/>
      <c r="C610" s="48"/>
      <c r="D610" s="48"/>
      <c r="E610" s="48"/>
      <c r="F610" s="49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8.75" customHeight="1" x14ac:dyDescent="0.45">
      <c r="A611" s="48"/>
      <c r="B611" s="48"/>
      <c r="C611" s="48"/>
      <c r="D611" s="48"/>
      <c r="E611" s="48"/>
      <c r="F611" s="49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8.75" customHeight="1" x14ac:dyDescent="0.45">
      <c r="A612" s="48"/>
      <c r="B612" s="48"/>
      <c r="C612" s="48"/>
      <c r="D612" s="48"/>
      <c r="E612" s="48"/>
      <c r="F612" s="49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8.75" customHeight="1" x14ac:dyDescent="0.45">
      <c r="A613" s="48"/>
      <c r="B613" s="48"/>
      <c r="C613" s="48"/>
      <c r="D613" s="48"/>
      <c r="E613" s="48"/>
      <c r="F613" s="49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8.75" customHeight="1" x14ac:dyDescent="0.45">
      <c r="A614" s="48"/>
      <c r="B614" s="48"/>
      <c r="C614" s="48"/>
      <c r="D614" s="48"/>
      <c r="E614" s="48"/>
      <c r="F614" s="49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8.75" customHeight="1" x14ac:dyDescent="0.45">
      <c r="A615" s="48"/>
      <c r="B615" s="48"/>
      <c r="C615" s="48"/>
      <c r="D615" s="48"/>
      <c r="E615" s="48"/>
      <c r="F615" s="49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8.75" customHeight="1" x14ac:dyDescent="0.45">
      <c r="A616" s="48"/>
      <c r="B616" s="48"/>
      <c r="C616" s="48"/>
      <c r="D616" s="48"/>
      <c r="E616" s="48"/>
      <c r="F616" s="49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8.75" customHeight="1" x14ac:dyDescent="0.45">
      <c r="A617" s="48"/>
      <c r="B617" s="48"/>
      <c r="C617" s="48"/>
      <c r="D617" s="48"/>
      <c r="E617" s="48"/>
      <c r="F617" s="49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8.75" customHeight="1" x14ac:dyDescent="0.45">
      <c r="A618" s="48"/>
      <c r="B618" s="48"/>
      <c r="C618" s="48"/>
      <c r="D618" s="48"/>
      <c r="E618" s="48"/>
      <c r="F618" s="49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8.75" customHeight="1" x14ac:dyDescent="0.45">
      <c r="A619" s="48"/>
      <c r="B619" s="48"/>
      <c r="C619" s="48"/>
      <c r="D619" s="48"/>
      <c r="E619" s="48"/>
      <c r="F619" s="49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8.75" customHeight="1" x14ac:dyDescent="0.45">
      <c r="A620" s="48"/>
      <c r="B620" s="48"/>
      <c r="C620" s="48"/>
      <c r="D620" s="48"/>
      <c r="E620" s="48"/>
      <c r="F620" s="49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8.75" customHeight="1" x14ac:dyDescent="0.45">
      <c r="A621" s="48"/>
      <c r="B621" s="48"/>
      <c r="C621" s="48"/>
      <c r="D621" s="48"/>
      <c r="E621" s="48"/>
      <c r="F621" s="49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8.75" customHeight="1" x14ac:dyDescent="0.45">
      <c r="A622" s="48"/>
      <c r="B622" s="48"/>
      <c r="C622" s="48"/>
      <c r="D622" s="48"/>
      <c r="E622" s="48"/>
      <c r="F622" s="49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8.75" customHeight="1" x14ac:dyDescent="0.45">
      <c r="A623" s="48"/>
      <c r="B623" s="48"/>
      <c r="C623" s="48"/>
      <c r="D623" s="48"/>
      <c r="E623" s="48"/>
      <c r="F623" s="49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8.75" customHeight="1" x14ac:dyDescent="0.45">
      <c r="A624" s="48"/>
      <c r="B624" s="48"/>
      <c r="C624" s="48"/>
      <c r="D624" s="48"/>
      <c r="E624" s="48"/>
      <c r="F624" s="49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8.75" customHeight="1" x14ac:dyDescent="0.45">
      <c r="A625" s="48"/>
      <c r="B625" s="48"/>
      <c r="C625" s="48"/>
      <c r="D625" s="48"/>
      <c r="E625" s="48"/>
      <c r="F625" s="49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8.75" customHeight="1" x14ac:dyDescent="0.45">
      <c r="A626" s="48"/>
      <c r="B626" s="48"/>
      <c r="C626" s="48"/>
      <c r="D626" s="48"/>
      <c r="E626" s="48"/>
      <c r="F626" s="49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8.75" customHeight="1" x14ac:dyDescent="0.45">
      <c r="A627" s="48"/>
      <c r="B627" s="48"/>
      <c r="C627" s="48"/>
      <c r="D627" s="48"/>
      <c r="E627" s="48"/>
      <c r="F627" s="49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8.75" customHeight="1" x14ac:dyDescent="0.45">
      <c r="A628" s="48"/>
      <c r="B628" s="48"/>
      <c r="C628" s="48"/>
      <c r="D628" s="48"/>
      <c r="E628" s="48"/>
      <c r="F628" s="49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8.75" customHeight="1" x14ac:dyDescent="0.45">
      <c r="A629" s="48"/>
      <c r="B629" s="48"/>
      <c r="C629" s="48"/>
      <c r="D629" s="48"/>
      <c r="E629" s="48"/>
      <c r="F629" s="49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8.75" customHeight="1" x14ac:dyDescent="0.45">
      <c r="A630" s="48"/>
      <c r="B630" s="48"/>
      <c r="C630" s="48"/>
      <c r="D630" s="48"/>
      <c r="E630" s="48"/>
      <c r="F630" s="49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8.75" customHeight="1" x14ac:dyDescent="0.45">
      <c r="A631" s="48"/>
      <c r="B631" s="48"/>
      <c r="C631" s="48"/>
      <c r="D631" s="48"/>
      <c r="E631" s="48"/>
      <c r="F631" s="49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8.75" customHeight="1" x14ac:dyDescent="0.45">
      <c r="A632" s="48"/>
      <c r="B632" s="48"/>
      <c r="C632" s="48"/>
      <c r="D632" s="48"/>
      <c r="E632" s="48"/>
      <c r="F632" s="49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8.75" customHeight="1" x14ac:dyDescent="0.45">
      <c r="A633" s="48"/>
      <c r="B633" s="48"/>
      <c r="C633" s="48"/>
      <c r="D633" s="48"/>
      <c r="E633" s="48"/>
      <c r="F633" s="49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8.75" customHeight="1" x14ac:dyDescent="0.45">
      <c r="A634" s="48"/>
      <c r="B634" s="48"/>
      <c r="C634" s="48"/>
      <c r="D634" s="48"/>
      <c r="E634" s="48"/>
      <c r="F634" s="49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8.75" customHeight="1" x14ac:dyDescent="0.45">
      <c r="A635" s="48"/>
      <c r="B635" s="48"/>
      <c r="C635" s="48"/>
      <c r="D635" s="48"/>
      <c r="E635" s="48"/>
      <c r="F635" s="49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8.75" customHeight="1" x14ac:dyDescent="0.45">
      <c r="A636" s="48"/>
      <c r="B636" s="48"/>
      <c r="C636" s="48"/>
      <c r="D636" s="48"/>
      <c r="E636" s="48"/>
      <c r="F636" s="49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8.75" customHeight="1" x14ac:dyDescent="0.45">
      <c r="A637" s="48"/>
      <c r="B637" s="48"/>
      <c r="C637" s="48"/>
      <c r="D637" s="48"/>
      <c r="E637" s="48"/>
      <c r="F637" s="49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8.75" customHeight="1" x14ac:dyDescent="0.45">
      <c r="A638" s="48"/>
      <c r="B638" s="48"/>
      <c r="C638" s="48"/>
      <c r="D638" s="48"/>
      <c r="E638" s="48"/>
      <c r="F638" s="49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8.75" customHeight="1" x14ac:dyDescent="0.45">
      <c r="A639" s="48"/>
      <c r="B639" s="48"/>
      <c r="C639" s="48"/>
      <c r="D639" s="48"/>
      <c r="E639" s="48"/>
      <c r="F639" s="49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8.75" customHeight="1" x14ac:dyDescent="0.45">
      <c r="A640" s="48"/>
      <c r="B640" s="48"/>
      <c r="C640" s="48"/>
      <c r="D640" s="48"/>
      <c r="E640" s="48"/>
      <c r="F640" s="49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8.75" customHeight="1" x14ac:dyDescent="0.45">
      <c r="A641" s="48"/>
      <c r="B641" s="48"/>
      <c r="C641" s="48"/>
      <c r="D641" s="48"/>
      <c r="E641" s="48"/>
      <c r="F641" s="49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8.75" customHeight="1" x14ac:dyDescent="0.45">
      <c r="A642" s="48"/>
      <c r="B642" s="48"/>
      <c r="C642" s="48"/>
      <c r="D642" s="48"/>
      <c r="E642" s="48"/>
      <c r="F642" s="49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8.75" customHeight="1" x14ac:dyDescent="0.45">
      <c r="A643" s="48"/>
      <c r="B643" s="48"/>
      <c r="C643" s="48"/>
      <c r="D643" s="48"/>
      <c r="E643" s="48"/>
      <c r="F643" s="49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8.75" customHeight="1" x14ac:dyDescent="0.45">
      <c r="A644" s="48"/>
      <c r="B644" s="48"/>
      <c r="C644" s="48"/>
      <c r="D644" s="48"/>
      <c r="E644" s="48"/>
      <c r="F644" s="49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8.75" customHeight="1" x14ac:dyDescent="0.45">
      <c r="A645" s="48"/>
      <c r="B645" s="48"/>
      <c r="C645" s="48"/>
      <c r="D645" s="48"/>
      <c r="E645" s="48"/>
      <c r="F645" s="49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8.75" customHeight="1" x14ac:dyDescent="0.45">
      <c r="A646" s="48"/>
      <c r="B646" s="48"/>
      <c r="C646" s="48"/>
      <c r="D646" s="48"/>
      <c r="E646" s="48"/>
      <c r="F646" s="49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8.75" customHeight="1" x14ac:dyDescent="0.45">
      <c r="A647" s="48"/>
      <c r="B647" s="48"/>
      <c r="C647" s="48"/>
      <c r="D647" s="48"/>
      <c r="E647" s="48"/>
      <c r="F647" s="49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8.75" customHeight="1" x14ac:dyDescent="0.45">
      <c r="A648" s="48"/>
      <c r="B648" s="48"/>
      <c r="C648" s="48"/>
      <c r="D648" s="48"/>
      <c r="E648" s="48"/>
      <c r="F648" s="49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8.75" customHeight="1" x14ac:dyDescent="0.45">
      <c r="A649" s="48"/>
      <c r="B649" s="48"/>
      <c r="C649" s="48"/>
      <c r="D649" s="48"/>
      <c r="E649" s="48"/>
      <c r="F649" s="49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8.75" customHeight="1" x14ac:dyDescent="0.45">
      <c r="A650" s="48"/>
      <c r="B650" s="48"/>
      <c r="C650" s="48"/>
      <c r="D650" s="48"/>
      <c r="E650" s="48"/>
      <c r="F650" s="49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8.75" customHeight="1" x14ac:dyDescent="0.45">
      <c r="A651" s="48"/>
      <c r="B651" s="48"/>
      <c r="C651" s="48"/>
      <c r="D651" s="48"/>
      <c r="E651" s="48"/>
      <c r="F651" s="49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8.75" customHeight="1" x14ac:dyDescent="0.45">
      <c r="A652" s="48"/>
      <c r="B652" s="48"/>
      <c r="C652" s="48"/>
      <c r="D652" s="48"/>
      <c r="E652" s="48"/>
      <c r="F652" s="49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8.75" customHeight="1" x14ac:dyDescent="0.45">
      <c r="A653" s="48"/>
      <c r="B653" s="48"/>
      <c r="C653" s="48"/>
      <c r="D653" s="48"/>
      <c r="E653" s="48"/>
      <c r="F653" s="49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8.75" customHeight="1" x14ac:dyDescent="0.45">
      <c r="A654" s="48"/>
      <c r="B654" s="48"/>
      <c r="C654" s="48"/>
      <c r="D654" s="48"/>
      <c r="E654" s="48"/>
      <c r="F654" s="49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8.75" customHeight="1" x14ac:dyDescent="0.45">
      <c r="A655" s="48"/>
      <c r="B655" s="48"/>
      <c r="C655" s="48"/>
      <c r="D655" s="48"/>
      <c r="E655" s="48"/>
      <c r="F655" s="49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8.75" customHeight="1" x14ac:dyDescent="0.45">
      <c r="A656" s="48"/>
      <c r="B656" s="48"/>
      <c r="C656" s="48"/>
      <c r="D656" s="48"/>
      <c r="E656" s="48"/>
      <c r="F656" s="49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8.75" customHeight="1" x14ac:dyDescent="0.45">
      <c r="A657" s="48"/>
      <c r="B657" s="48"/>
      <c r="C657" s="48"/>
      <c r="D657" s="48"/>
      <c r="E657" s="48"/>
      <c r="F657" s="49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8.75" customHeight="1" x14ac:dyDescent="0.45">
      <c r="A658" s="48"/>
      <c r="B658" s="48"/>
      <c r="C658" s="48"/>
      <c r="D658" s="48"/>
      <c r="E658" s="48"/>
      <c r="F658" s="49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8.75" customHeight="1" x14ac:dyDescent="0.45">
      <c r="A659" s="48"/>
      <c r="B659" s="48"/>
      <c r="C659" s="48"/>
      <c r="D659" s="48"/>
      <c r="E659" s="48"/>
      <c r="F659" s="49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8.75" customHeight="1" x14ac:dyDescent="0.45">
      <c r="A660" s="48"/>
      <c r="B660" s="48"/>
      <c r="C660" s="48"/>
      <c r="D660" s="48"/>
      <c r="E660" s="48"/>
      <c r="F660" s="49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8.75" customHeight="1" x14ac:dyDescent="0.45">
      <c r="A661" s="48"/>
      <c r="B661" s="48"/>
      <c r="C661" s="48"/>
      <c r="D661" s="48"/>
      <c r="E661" s="48"/>
      <c r="F661" s="49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8.75" customHeight="1" x14ac:dyDescent="0.45">
      <c r="A662" s="48"/>
      <c r="B662" s="48"/>
      <c r="C662" s="48"/>
      <c r="D662" s="48"/>
      <c r="E662" s="48"/>
      <c r="F662" s="49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8.75" customHeight="1" x14ac:dyDescent="0.45">
      <c r="A663" s="48"/>
      <c r="B663" s="48"/>
      <c r="C663" s="48"/>
      <c r="D663" s="48"/>
      <c r="E663" s="48"/>
      <c r="F663" s="49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8.75" customHeight="1" x14ac:dyDescent="0.45">
      <c r="A664" s="48"/>
      <c r="B664" s="48"/>
      <c r="C664" s="48"/>
      <c r="D664" s="48"/>
      <c r="E664" s="48"/>
      <c r="F664" s="49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8.75" customHeight="1" x14ac:dyDescent="0.45">
      <c r="A665" s="48"/>
      <c r="B665" s="48"/>
      <c r="C665" s="48"/>
      <c r="D665" s="48"/>
      <c r="E665" s="48"/>
      <c r="F665" s="49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8.75" customHeight="1" x14ac:dyDescent="0.45">
      <c r="A666" s="48"/>
      <c r="B666" s="48"/>
      <c r="C666" s="48"/>
      <c r="D666" s="48"/>
      <c r="E666" s="48"/>
      <c r="F666" s="49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8.75" customHeight="1" x14ac:dyDescent="0.45">
      <c r="A667" s="48"/>
      <c r="B667" s="48"/>
      <c r="C667" s="48"/>
      <c r="D667" s="48"/>
      <c r="E667" s="48"/>
      <c r="F667" s="49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8.75" customHeight="1" x14ac:dyDescent="0.45">
      <c r="A668" s="48"/>
      <c r="B668" s="48"/>
      <c r="C668" s="48"/>
      <c r="D668" s="48"/>
      <c r="E668" s="48"/>
      <c r="F668" s="49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8.75" customHeight="1" x14ac:dyDescent="0.45">
      <c r="A669" s="48"/>
      <c r="B669" s="48"/>
      <c r="C669" s="48"/>
      <c r="D669" s="48"/>
      <c r="E669" s="48"/>
      <c r="F669" s="49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8.75" customHeight="1" x14ac:dyDescent="0.45">
      <c r="A670" s="48"/>
      <c r="B670" s="48"/>
      <c r="C670" s="48"/>
      <c r="D670" s="48"/>
      <c r="E670" s="48"/>
      <c r="F670" s="49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8.75" customHeight="1" x14ac:dyDescent="0.45">
      <c r="A671" s="48"/>
      <c r="B671" s="48"/>
      <c r="C671" s="48"/>
      <c r="D671" s="48"/>
      <c r="E671" s="48"/>
      <c r="F671" s="49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8.75" customHeight="1" x14ac:dyDescent="0.45">
      <c r="A672" s="48"/>
      <c r="B672" s="48"/>
      <c r="C672" s="48"/>
      <c r="D672" s="48"/>
      <c r="E672" s="48"/>
      <c r="F672" s="49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8.75" customHeight="1" x14ac:dyDescent="0.45">
      <c r="A673" s="48"/>
      <c r="B673" s="48"/>
      <c r="C673" s="48"/>
      <c r="D673" s="48"/>
      <c r="E673" s="48"/>
      <c r="F673" s="49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8.75" customHeight="1" x14ac:dyDescent="0.45">
      <c r="A674" s="48"/>
      <c r="B674" s="48"/>
      <c r="C674" s="48"/>
      <c r="D674" s="48"/>
      <c r="E674" s="48"/>
      <c r="F674" s="49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8.75" customHeight="1" x14ac:dyDescent="0.45">
      <c r="A675" s="48"/>
      <c r="B675" s="48"/>
      <c r="C675" s="48"/>
      <c r="D675" s="48"/>
      <c r="E675" s="48"/>
      <c r="F675" s="49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8.75" customHeight="1" x14ac:dyDescent="0.45">
      <c r="A676" s="48"/>
      <c r="B676" s="48"/>
      <c r="C676" s="48"/>
      <c r="D676" s="48"/>
      <c r="E676" s="48"/>
      <c r="F676" s="49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8.75" customHeight="1" x14ac:dyDescent="0.45">
      <c r="A677" s="48"/>
      <c r="B677" s="48"/>
      <c r="C677" s="48"/>
      <c r="D677" s="48"/>
      <c r="E677" s="48"/>
      <c r="F677" s="49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8.75" customHeight="1" x14ac:dyDescent="0.45">
      <c r="A678" s="48"/>
      <c r="B678" s="48"/>
      <c r="C678" s="48"/>
      <c r="D678" s="48"/>
      <c r="E678" s="48"/>
      <c r="F678" s="49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8.75" customHeight="1" x14ac:dyDescent="0.45">
      <c r="A679" s="48"/>
      <c r="B679" s="48"/>
      <c r="C679" s="48"/>
      <c r="D679" s="48"/>
      <c r="E679" s="48"/>
      <c r="F679" s="49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8.75" customHeight="1" x14ac:dyDescent="0.45">
      <c r="A680" s="48"/>
      <c r="B680" s="48"/>
      <c r="C680" s="48"/>
      <c r="D680" s="48"/>
      <c r="E680" s="48"/>
      <c r="F680" s="49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8.75" customHeight="1" x14ac:dyDescent="0.45">
      <c r="A681" s="48"/>
      <c r="B681" s="48"/>
      <c r="C681" s="48"/>
      <c r="D681" s="48"/>
      <c r="E681" s="48"/>
      <c r="F681" s="49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8.75" customHeight="1" x14ac:dyDescent="0.45">
      <c r="A682" s="48"/>
      <c r="B682" s="48"/>
      <c r="C682" s="48"/>
      <c r="D682" s="48"/>
      <c r="E682" s="48"/>
      <c r="F682" s="49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8.75" customHeight="1" x14ac:dyDescent="0.45">
      <c r="A683" s="48"/>
      <c r="B683" s="48"/>
      <c r="C683" s="48"/>
      <c r="D683" s="48"/>
      <c r="E683" s="48"/>
      <c r="F683" s="49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8.75" customHeight="1" x14ac:dyDescent="0.45">
      <c r="A684" s="48"/>
      <c r="B684" s="48"/>
      <c r="C684" s="48"/>
      <c r="D684" s="48"/>
      <c r="E684" s="48"/>
      <c r="F684" s="49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8.75" customHeight="1" x14ac:dyDescent="0.45">
      <c r="A685" s="48"/>
      <c r="B685" s="48"/>
      <c r="C685" s="48"/>
      <c r="D685" s="48"/>
      <c r="E685" s="48"/>
      <c r="F685" s="49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8.75" customHeight="1" x14ac:dyDescent="0.45">
      <c r="A686" s="48"/>
      <c r="B686" s="48"/>
      <c r="C686" s="48"/>
      <c r="D686" s="48"/>
      <c r="E686" s="48"/>
      <c r="F686" s="49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8.75" customHeight="1" x14ac:dyDescent="0.45">
      <c r="A687" s="48"/>
      <c r="B687" s="48"/>
      <c r="C687" s="48"/>
      <c r="D687" s="48"/>
      <c r="E687" s="48"/>
      <c r="F687" s="49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8.75" customHeight="1" x14ac:dyDescent="0.45">
      <c r="A688" s="48"/>
      <c r="B688" s="48"/>
      <c r="C688" s="48"/>
      <c r="D688" s="48"/>
      <c r="E688" s="48"/>
      <c r="F688" s="49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8.75" customHeight="1" x14ac:dyDescent="0.45">
      <c r="A689" s="48"/>
      <c r="B689" s="48"/>
      <c r="C689" s="48"/>
      <c r="D689" s="48"/>
      <c r="E689" s="48"/>
      <c r="F689" s="49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8.75" customHeight="1" x14ac:dyDescent="0.45">
      <c r="A690" s="48"/>
      <c r="B690" s="48"/>
      <c r="C690" s="48"/>
      <c r="D690" s="48"/>
      <c r="E690" s="48"/>
      <c r="F690" s="49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8.75" customHeight="1" x14ac:dyDescent="0.45">
      <c r="A691" s="48"/>
      <c r="B691" s="48"/>
      <c r="C691" s="48"/>
      <c r="D691" s="48"/>
      <c r="E691" s="48"/>
      <c r="F691" s="49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8.75" customHeight="1" x14ac:dyDescent="0.45">
      <c r="A692" s="48"/>
      <c r="B692" s="48"/>
      <c r="C692" s="48"/>
      <c r="D692" s="48"/>
      <c r="E692" s="48"/>
      <c r="F692" s="49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8.75" customHeight="1" x14ac:dyDescent="0.45">
      <c r="A693" s="48"/>
      <c r="B693" s="48"/>
      <c r="C693" s="48"/>
      <c r="D693" s="48"/>
      <c r="E693" s="48"/>
      <c r="F693" s="49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8.75" customHeight="1" x14ac:dyDescent="0.45">
      <c r="A694" s="48"/>
      <c r="B694" s="48"/>
      <c r="C694" s="48"/>
      <c r="D694" s="48"/>
      <c r="E694" s="48"/>
      <c r="F694" s="49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8.75" customHeight="1" x14ac:dyDescent="0.45">
      <c r="A695" s="48"/>
      <c r="B695" s="48"/>
      <c r="C695" s="48"/>
      <c r="D695" s="48"/>
      <c r="E695" s="48"/>
      <c r="F695" s="49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8.75" customHeight="1" x14ac:dyDescent="0.45">
      <c r="A696" s="48"/>
      <c r="B696" s="48"/>
      <c r="C696" s="48"/>
      <c r="D696" s="48"/>
      <c r="E696" s="48"/>
      <c r="F696" s="49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8.75" customHeight="1" x14ac:dyDescent="0.45">
      <c r="A697" s="48"/>
      <c r="B697" s="48"/>
      <c r="C697" s="48"/>
      <c r="D697" s="48"/>
      <c r="E697" s="48"/>
      <c r="F697" s="49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8.75" customHeight="1" x14ac:dyDescent="0.45">
      <c r="A698" s="48"/>
      <c r="B698" s="48"/>
      <c r="C698" s="48"/>
      <c r="D698" s="48"/>
      <c r="E698" s="48"/>
      <c r="F698" s="49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8.75" customHeight="1" x14ac:dyDescent="0.45">
      <c r="A699" s="48"/>
      <c r="B699" s="48"/>
      <c r="C699" s="48"/>
      <c r="D699" s="48"/>
      <c r="E699" s="48"/>
      <c r="F699" s="49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8.75" customHeight="1" x14ac:dyDescent="0.45">
      <c r="A700" s="48"/>
      <c r="B700" s="48"/>
      <c r="C700" s="48"/>
      <c r="D700" s="48"/>
      <c r="E700" s="48"/>
      <c r="F700" s="49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8.75" customHeight="1" x14ac:dyDescent="0.45">
      <c r="A701" s="48"/>
      <c r="B701" s="48"/>
      <c r="C701" s="48"/>
      <c r="D701" s="48"/>
      <c r="E701" s="48"/>
      <c r="F701" s="49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8.75" customHeight="1" x14ac:dyDescent="0.45">
      <c r="A702" s="48"/>
      <c r="B702" s="48"/>
      <c r="C702" s="48"/>
      <c r="D702" s="48"/>
      <c r="E702" s="48"/>
      <c r="F702" s="49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8.75" customHeight="1" x14ac:dyDescent="0.45">
      <c r="A703" s="48"/>
      <c r="B703" s="48"/>
      <c r="C703" s="48"/>
      <c r="D703" s="48"/>
      <c r="E703" s="48"/>
      <c r="F703" s="49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8.75" customHeight="1" x14ac:dyDescent="0.45">
      <c r="A704" s="48"/>
      <c r="B704" s="48"/>
      <c r="C704" s="48"/>
      <c r="D704" s="48"/>
      <c r="E704" s="48"/>
      <c r="F704" s="49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8.75" customHeight="1" x14ac:dyDescent="0.45">
      <c r="A705" s="48"/>
      <c r="B705" s="48"/>
      <c r="C705" s="48"/>
      <c r="D705" s="48"/>
      <c r="E705" s="48"/>
      <c r="F705" s="49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8.75" customHeight="1" x14ac:dyDescent="0.45">
      <c r="A706" s="48"/>
      <c r="B706" s="48"/>
      <c r="C706" s="48"/>
      <c r="D706" s="48"/>
      <c r="E706" s="48"/>
      <c r="F706" s="49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8.75" customHeight="1" x14ac:dyDescent="0.45">
      <c r="A707" s="48"/>
      <c r="B707" s="48"/>
      <c r="C707" s="48"/>
      <c r="D707" s="48"/>
      <c r="E707" s="48"/>
      <c r="F707" s="49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8.75" customHeight="1" x14ac:dyDescent="0.45">
      <c r="A708" s="48"/>
      <c r="B708" s="48"/>
      <c r="C708" s="48"/>
      <c r="D708" s="48"/>
      <c r="E708" s="48"/>
      <c r="F708" s="49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8.75" customHeight="1" x14ac:dyDescent="0.45">
      <c r="A709" s="48"/>
      <c r="B709" s="48"/>
      <c r="C709" s="48"/>
      <c r="D709" s="48"/>
      <c r="E709" s="48"/>
      <c r="F709" s="49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8.75" customHeight="1" x14ac:dyDescent="0.45">
      <c r="A710" s="48"/>
      <c r="B710" s="48"/>
      <c r="C710" s="48"/>
      <c r="D710" s="48"/>
      <c r="E710" s="48"/>
      <c r="F710" s="49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8.75" customHeight="1" x14ac:dyDescent="0.45">
      <c r="A711" s="48"/>
      <c r="B711" s="48"/>
      <c r="C711" s="48"/>
      <c r="D711" s="48"/>
      <c r="E711" s="48"/>
      <c r="F711" s="49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8.75" customHeight="1" x14ac:dyDescent="0.45">
      <c r="A712" s="48"/>
      <c r="B712" s="48"/>
      <c r="C712" s="48"/>
      <c r="D712" s="48"/>
      <c r="E712" s="48"/>
      <c r="F712" s="49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8.75" customHeight="1" x14ac:dyDescent="0.45">
      <c r="A713" s="48"/>
      <c r="B713" s="48"/>
      <c r="C713" s="48"/>
      <c r="D713" s="48"/>
      <c r="E713" s="48"/>
      <c r="F713" s="49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8.75" customHeight="1" x14ac:dyDescent="0.45">
      <c r="A714" s="48"/>
      <c r="B714" s="48"/>
      <c r="C714" s="48"/>
      <c r="D714" s="48"/>
      <c r="E714" s="48"/>
      <c r="F714" s="49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8.75" customHeight="1" x14ac:dyDescent="0.45">
      <c r="A715" s="48"/>
      <c r="B715" s="48"/>
      <c r="C715" s="48"/>
      <c r="D715" s="48"/>
      <c r="E715" s="48"/>
      <c r="F715" s="49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8.75" customHeight="1" x14ac:dyDescent="0.45">
      <c r="A716" s="48"/>
      <c r="B716" s="48"/>
      <c r="C716" s="48"/>
      <c r="D716" s="48"/>
      <c r="E716" s="48"/>
      <c r="F716" s="49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8.75" customHeight="1" x14ac:dyDescent="0.45">
      <c r="A717" s="48"/>
      <c r="B717" s="48"/>
      <c r="C717" s="48"/>
      <c r="D717" s="48"/>
      <c r="E717" s="48"/>
      <c r="F717" s="49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8.75" customHeight="1" x14ac:dyDescent="0.45">
      <c r="A718" s="48"/>
      <c r="B718" s="48"/>
      <c r="C718" s="48"/>
      <c r="D718" s="48"/>
      <c r="E718" s="48"/>
      <c r="F718" s="49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8.75" customHeight="1" x14ac:dyDescent="0.45">
      <c r="A719" s="48"/>
      <c r="B719" s="48"/>
      <c r="C719" s="48"/>
      <c r="D719" s="48"/>
      <c r="E719" s="48"/>
      <c r="F719" s="49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8.75" customHeight="1" x14ac:dyDescent="0.45">
      <c r="A720" s="48"/>
      <c r="B720" s="48"/>
      <c r="C720" s="48"/>
      <c r="D720" s="48"/>
      <c r="E720" s="48"/>
      <c r="F720" s="49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8.75" customHeight="1" x14ac:dyDescent="0.45">
      <c r="A721" s="48"/>
      <c r="B721" s="48"/>
      <c r="C721" s="48"/>
      <c r="D721" s="48"/>
      <c r="E721" s="48"/>
      <c r="F721" s="49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8.75" customHeight="1" x14ac:dyDescent="0.45">
      <c r="A722" s="48"/>
      <c r="B722" s="48"/>
      <c r="C722" s="48"/>
      <c r="D722" s="48"/>
      <c r="E722" s="48"/>
      <c r="F722" s="49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8.75" customHeight="1" x14ac:dyDescent="0.45">
      <c r="A723" s="48"/>
      <c r="B723" s="48"/>
      <c r="C723" s="48"/>
      <c r="D723" s="48"/>
      <c r="E723" s="48"/>
      <c r="F723" s="49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8.75" customHeight="1" x14ac:dyDescent="0.45">
      <c r="A724" s="48"/>
      <c r="B724" s="48"/>
      <c r="C724" s="48"/>
      <c r="D724" s="48"/>
      <c r="E724" s="48"/>
      <c r="F724" s="49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8.75" customHeight="1" x14ac:dyDescent="0.45">
      <c r="A725" s="48"/>
      <c r="B725" s="48"/>
      <c r="C725" s="48"/>
      <c r="D725" s="48"/>
      <c r="E725" s="48"/>
      <c r="F725" s="49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8.75" customHeight="1" x14ac:dyDescent="0.45">
      <c r="A726" s="48"/>
      <c r="B726" s="48"/>
      <c r="C726" s="48"/>
      <c r="D726" s="48"/>
      <c r="E726" s="48"/>
      <c r="F726" s="49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8.75" customHeight="1" x14ac:dyDescent="0.45">
      <c r="A727" s="48"/>
      <c r="B727" s="48"/>
      <c r="C727" s="48"/>
      <c r="D727" s="48"/>
      <c r="E727" s="48"/>
      <c r="F727" s="49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8.75" customHeight="1" x14ac:dyDescent="0.45">
      <c r="A728" s="48"/>
      <c r="B728" s="48"/>
      <c r="C728" s="48"/>
      <c r="D728" s="48"/>
      <c r="E728" s="48"/>
      <c r="F728" s="49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8.75" customHeight="1" x14ac:dyDescent="0.45">
      <c r="A729" s="48"/>
      <c r="B729" s="48"/>
      <c r="C729" s="48"/>
      <c r="D729" s="48"/>
      <c r="E729" s="48"/>
      <c r="F729" s="49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8.75" customHeight="1" x14ac:dyDescent="0.45">
      <c r="A730" s="48"/>
      <c r="B730" s="48"/>
      <c r="C730" s="48"/>
      <c r="D730" s="48"/>
      <c r="E730" s="48"/>
      <c r="F730" s="49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8.75" customHeight="1" x14ac:dyDescent="0.45">
      <c r="A731" s="48"/>
      <c r="B731" s="48"/>
      <c r="C731" s="48"/>
      <c r="D731" s="48"/>
      <c r="E731" s="48"/>
      <c r="F731" s="49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8.75" customHeight="1" x14ac:dyDescent="0.45">
      <c r="A732" s="48"/>
      <c r="B732" s="48"/>
      <c r="C732" s="48"/>
      <c r="D732" s="48"/>
      <c r="E732" s="48"/>
      <c r="F732" s="49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8.75" customHeight="1" x14ac:dyDescent="0.45">
      <c r="A733" s="48"/>
      <c r="B733" s="48"/>
      <c r="C733" s="48"/>
      <c r="D733" s="48"/>
      <c r="E733" s="48"/>
      <c r="F733" s="49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8.75" customHeight="1" x14ac:dyDescent="0.45">
      <c r="A734" s="48"/>
      <c r="B734" s="48"/>
      <c r="C734" s="48"/>
      <c r="D734" s="48"/>
      <c r="E734" s="48"/>
      <c r="F734" s="49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8.75" customHeight="1" x14ac:dyDescent="0.45">
      <c r="A735" s="48"/>
      <c r="B735" s="48"/>
      <c r="C735" s="48"/>
      <c r="D735" s="48"/>
      <c r="E735" s="48"/>
      <c r="F735" s="49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8.75" customHeight="1" x14ac:dyDescent="0.45">
      <c r="A736" s="48"/>
      <c r="B736" s="48"/>
      <c r="C736" s="48"/>
      <c r="D736" s="48"/>
      <c r="E736" s="48"/>
      <c r="F736" s="49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8.75" customHeight="1" x14ac:dyDescent="0.45">
      <c r="A737" s="48"/>
      <c r="B737" s="48"/>
      <c r="C737" s="48"/>
      <c r="D737" s="48"/>
      <c r="E737" s="48"/>
      <c r="F737" s="49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8.75" customHeight="1" x14ac:dyDescent="0.45">
      <c r="A738" s="48"/>
      <c r="B738" s="48"/>
      <c r="C738" s="48"/>
      <c r="D738" s="48"/>
      <c r="E738" s="48"/>
      <c r="F738" s="49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8.75" customHeight="1" x14ac:dyDescent="0.45">
      <c r="A739" s="48"/>
      <c r="B739" s="48"/>
      <c r="C739" s="48"/>
      <c r="D739" s="48"/>
      <c r="E739" s="48"/>
      <c r="F739" s="49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8.75" customHeight="1" x14ac:dyDescent="0.45">
      <c r="A740" s="48"/>
      <c r="B740" s="48"/>
      <c r="C740" s="48"/>
      <c r="D740" s="48"/>
      <c r="E740" s="48"/>
      <c r="F740" s="49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8.75" customHeight="1" x14ac:dyDescent="0.45">
      <c r="A741" s="48"/>
      <c r="B741" s="48"/>
      <c r="C741" s="48"/>
      <c r="D741" s="48"/>
      <c r="E741" s="48"/>
      <c r="F741" s="49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8.75" customHeight="1" x14ac:dyDescent="0.45">
      <c r="A742" s="48"/>
      <c r="B742" s="48"/>
      <c r="C742" s="48"/>
      <c r="D742" s="48"/>
      <c r="E742" s="48"/>
      <c r="F742" s="49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8.75" customHeight="1" x14ac:dyDescent="0.45">
      <c r="A743" s="48"/>
      <c r="B743" s="48"/>
      <c r="C743" s="48"/>
      <c r="D743" s="48"/>
      <c r="E743" s="48"/>
      <c r="F743" s="49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8.75" customHeight="1" x14ac:dyDescent="0.45">
      <c r="A744" s="48"/>
      <c r="B744" s="48"/>
      <c r="C744" s="48"/>
      <c r="D744" s="48"/>
      <c r="E744" s="48"/>
      <c r="F744" s="49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8.75" customHeight="1" x14ac:dyDescent="0.45">
      <c r="A745" s="48"/>
      <c r="B745" s="48"/>
      <c r="C745" s="48"/>
      <c r="D745" s="48"/>
      <c r="E745" s="48"/>
      <c r="F745" s="49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8.75" customHeight="1" x14ac:dyDescent="0.45">
      <c r="A746" s="48"/>
      <c r="B746" s="48"/>
      <c r="C746" s="48"/>
      <c r="D746" s="48"/>
      <c r="E746" s="48"/>
      <c r="F746" s="49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8.75" customHeight="1" x14ac:dyDescent="0.45">
      <c r="A747" s="48"/>
      <c r="B747" s="48"/>
      <c r="C747" s="48"/>
      <c r="D747" s="48"/>
      <c r="E747" s="48"/>
      <c r="F747" s="49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8.75" customHeight="1" x14ac:dyDescent="0.45">
      <c r="A748" s="48"/>
      <c r="B748" s="48"/>
      <c r="C748" s="48"/>
      <c r="D748" s="48"/>
      <c r="E748" s="48"/>
      <c r="F748" s="49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8.75" customHeight="1" x14ac:dyDescent="0.45">
      <c r="A749" s="48"/>
      <c r="B749" s="48"/>
      <c r="C749" s="48"/>
      <c r="D749" s="48"/>
      <c r="E749" s="48"/>
      <c r="F749" s="49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8.75" customHeight="1" x14ac:dyDescent="0.45">
      <c r="A750" s="48"/>
      <c r="B750" s="48"/>
      <c r="C750" s="48"/>
      <c r="D750" s="48"/>
      <c r="E750" s="48"/>
      <c r="F750" s="49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8.75" customHeight="1" x14ac:dyDescent="0.45">
      <c r="A751" s="48"/>
      <c r="B751" s="48"/>
      <c r="C751" s="48"/>
      <c r="D751" s="48"/>
      <c r="E751" s="48"/>
      <c r="F751" s="49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8.75" customHeight="1" x14ac:dyDescent="0.45">
      <c r="A752" s="48"/>
      <c r="B752" s="48"/>
      <c r="C752" s="48"/>
      <c r="D752" s="48"/>
      <c r="E752" s="48"/>
      <c r="F752" s="49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8.75" customHeight="1" x14ac:dyDescent="0.45">
      <c r="A753" s="48"/>
      <c r="B753" s="48"/>
      <c r="C753" s="48"/>
      <c r="D753" s="48"/>
      <c r="E753" s="48"/>
      <c r="F753" s="49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8.75" customHeight="1" x14ac:dyDescent="0.45">
      <c r="A754" s="48"/>
      <c r="B754" s="48"/>
      <c r="C754" s="48"/>
      <c r="D754" s="48"/>
      <c r="E754" s="48"/>
      <c r="F754" s="49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8.75" customHeight="1" x14ac:dyDescent="0.45">
      <c r="A755" s="48"/>
      <c r="B755" s="48"/>
      <c r="C755" s="48"/>
      <c r="D755" s="48"/>
      <c r="E755" s="48"/>
      <c r="F755" s="49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8.75" customHeight="1" x14ac:dyDescent="0.45">
      <c r="A756" s="48"/>
      <c r="B756" s="48"/>
      <c r="C756" s="48"/>
      <c r="D756" s="48"/>
      <c r="E756" s="48"/>
      <c r="F756" s="49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8.75" customHeight="1" x14ac:dyDescent="0.45">
      <c r="A757" s="48"/>
      <c r="B757" s="48"/>
      <c r="C757" s="48"/>
      <c r="D757" s="48"/>
      <c r="E757" s="48"/>
      <c r="F757" s="49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8.75" customHeight="1" x14ac:dyDescent="0.45">
      <c r="A758" s="48"/>
      <c r="B758" s="48"/>
      <c r="C758" s="48"/>
      <c r="D758" s="48"/>
      <c r="E758" s="48"/>
      <c r="F758" s="49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8.75" customHeight="1" x14ac:dyDescent="0.45">
      <c r="A759" s="48"/>
      <c r="B759" s="48"/>
      <c r="C759" s="48"/>
      <c r="D759" s="48"/>
      <c r="E759" s="48"/>
      <c r="F759" s="49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8.75" customHeight="1" x14ac:dyDescent="0.45">
      <c r="A760" s="48"/>
      <c r="B760" s="48"/>
      <c r="C760" s="48"/>
      <c r="D760" s="48"/>
      <c r="E760" s="48"/>
      <c r="F760" s="49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8.75" customHeight="1" x14ac:dyDescent="0.45">
      <c r="A761" s="48"/>
      <c r="B761" s="48"/>
      <c r="C761" s="48"/>
      <c r="D761" s="48"/>
      <c r="E761" s="48"/>
      <c r="F761" s="49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8.75" customHeight="1" x14ac:dyDescent="0.45">
      <c r="A762" s="48"/>
      <c r="B762" s="48"/>
      <c r="C762" s="48"/>
      <c r="D762" s="48"/>
      <c r="E762" s="48"/>
      <c r="F762" s="49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8.75" customHeight="1" x14ac:dyDescent="0.45">
      <c r="A763" s="48"/>
      <c r="B763" s="48"/>
      <c r="C763" s="48"/>
      <c r="D763" s="48"/>
      <c r="E763" s="48"/>
      <c r="F763" s="49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8.75" customHeight="1" x14ac:dyDescent="0.45">
      <c r="A764" s="48"/>
      <c r="B764" s="48"/>
      <c r="C764" s="48"/>
      <c r="D764" s="48"/>
      <c r="E764" s="48"/>
      <c r="F764" s="49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8.75" customHeight="1" x14ac:dyDescent="0.45">
      <c r="A765" s="48"/>
      <c r="B765" s="48"/>
      <c r="C765" s="48"/>
      <c r="D765" s="48"/>
      <c r="E765" s="48"/>
      <c r="F765" s="49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8.75" customHeight="1" x14ac:dyDescent="0.45">
      <c r="A766" s="48"/>
      <c r="B766" s="48"/>
      <c r="C766" s="48"/>
      <c r="D766" s="48"/>
      <c r="E766" s="48"/>
      <c r="F766" s="49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8.75" customHeight="1" x14ac:dyDescent="0.45">
      <c r="A767" s="48"/>
      <c r="B767" s="48"/>
      <c r="C767" s="48"/>
      <c r="D767" s="48"/>
      <c r="E767" s="48"/>
      <c r="F767" s="49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8.75" customHeight="1" x14ac:dyDescent="0.45">
      <c r="A768" s="48"/>
      <c r="B768" s="48"/>
      <c r="C768" s="48"/>
      <c r="D768" s="48"/>
      <c r="E768" s="48"/>
      <c r="F768" s="49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8.75" customHeight="1" x14ac:dyDescent="0.45">
      <c r="A769" s="48"/>
      <c r="B769" s="48"/>
      <c r="C769" s="48"/>
      <c r="D769" s="48"/>
      <c r="E769" s="48"/>
      <c r="F769" s="49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8.75" customHeight="1" x14ac:dyDescent="0.45">
      <c r="A770" s="48"/>
      <c r="B770" s="48"/>
      <c r="C770" s="48"/>
      <c r="D770" s="48"/>
      <c r="E770" s="48"/>
      <c r="F770" s="49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8.75" customHeight="1" x14ac:dyDescent="0.45">
      <c r="A771" s="48"/>
      <c r="B771" s="48"/>
      <c r="C771" s="48"/>
      <c r="D771" s="48"/>
      <c r="E771" s="48"/>
      <c r="F771" s="49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8.75" customHeight="1" x14ac:dyDescent="0.45">
      <c r="A772" s="48"/>
      <c r="B772" s="48"/>
      <c r="C772" s="48"/>
      <c r="D772" s="48"/>
      <c r="E772" s="48"/>
      <c r="F772" s="49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8.75" customHeight="1" x14ac:dyDescent="0.45">
      <c r="A773" s="48"/>
      <c r="B773" s="48"/>
      <c r="C773" s="48"/>
      <c r="D773" s="48"/>
      <c r="E773" s="48"/>
      <c r="F773" s="49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8.75" customHeight="1" x14ac:dyDescent="0.45">
      <c r="A774" s="48"/>
      <c r="B774" s="48"/>
      <c r="C774" s="48"/>
      <c r="D774" s="48"/>
      <c r="E774" s="48"/>
      <c r="F774" s="49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8.75" customHeight="1" x14ac:dyDescent="0.45">
      <c r="A775" s="48"/>
      <c r="B775" s="48"/>
      <c r="C775" s="48"/>
      <c r="D775" s="48"/>
      <c r="E775" s="48"/>
      <c r="F775" s="49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8.75" customHeight="1" x14ac:dyDescent="0.45">
      <c r="A776" s="48"/>
      <c r="B776" s="48"/>
      <c r="C776" s="48"/>
      <c r="D776" s="48"/>
      <c r="E776" s="48"/>
      <c r="F776" s="49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8.75" customHeight="1" x14ac:dyDescent="0.45">
      <c r="A777" s="48"/>
      <c r="B777" s="48"/>
      <c r="C777" s="48"/>
      <c r="D777" s="48"/>
      <c r="E777" s="48"/>
      <c r="F777" s="49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8.75" customHeight="1" x14ac:dyDescent="0.45">
      <c r="A778" s="48"/>
      <c r="B778" s="48"/>
      <c r="C778" s="48"/>
      <c r="D778" s="48"/>
      <c r="E778" s="48"/>
      <c r="F778" s="49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8.75" customHeight="1" x14ac:dyDescent="0.45">
      <c r="A779" s="48"/>
      <c r="B779" s="48"/>
      <c r="C779" s="48"/>
      <c r="D779" s="48"/>
      <c r="E779" s="48"/>
      <c r="F779" s="49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8.75" customHeight="1" x14ac:dyDescent="0.45">
      <c r="A780" s="48"/>
      <c r="B780" s="48"/>
      <c r="C780" s="48"/>
      <c r="D780" s="48"/>
      <c r="E780" s="48"/>
      <c r="F780" s="49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8.75" customHeight="1" x14ac:dyDescent="0.45">
      <c r="A781" s="48"/>
      <c r="B781" s="48"/>
      <c r="C781" s="48"/>
      <c r="D781" s="48"/>
      <c r="E781" s="48"/>
      <c r="F781" s="49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8.75" customHeight="1" x14ac:dyDescent="0.45">
      <c r="A782" s="48"/>
      <c r="B782" s="48"/>
      <c r="C782" s="48"/>
      <c r="D782" s="48"/>
      <c r="E782" s="48"/>
      <c r="F782" s="49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8.75" customHeight="1" x14ac:dyDescent="0.45">
      <c r="A783" s="48"/>
      <c r="B783" s="48"/>
      <c r="C783" s="48"/>
      <c r="D783" s="48"/>
      <c r="E783" s="48"/>
      <c r="F783" s="49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8.75" customHeight="1" x14ac:dyDescent="0.45">
      <c r="A784" s="48"/>
      <c r="B784" s="48"/>
      <c r="C784" s="48"/>
      <c r="D784" s="48"/>
      <c r="E784" s="48"/>
      <c r="F784" s="49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8.75" customHeight="1" x14ac:dyDescent="0.45">
      <c r="A785" s="48"/>
      <c r="B785" s="48"/>
      <c r="C785" s="48"/>
      <c r="D785" s="48"/>
      <c r="E785" s="48"/>
      <c r="F785" s="49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8.75" customHeight="1" x14ac:dyDescent="0.45">
      <c r="A786" s="48"/>
      <c r="B786" s="48"/>
      <c r="C786" s="48"/>
      <c r="D786" s="48"/>
      <c r="E786" s="48"/>
      <c r="F786" s="49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8.75" customHeight="1" x14ac:dyDescent="0.45">
      <c r="A787" s="48"/>
      <c r="B787" s="48"/>
      <c r="C787" s="48"/>
      <c r="D787" s="48"/>
      <c r="E787" s="48"/>
      <c r="F787" s="49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8.75" customHeight="1" x14ac:dyDescent="0.45">
      <c r="A788" s="48"/>
      <c r="B788" s="48"/>
      <c r="C788" s="48"/>
      <c r="D788" s="48"/>
      <c r="E788" s="48"/>
      <c r="F788" s="49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8.75" customHeight="1" x14ac:dyDescent="0.45">
      <c r="A789" s="48"/>
      <c r="B789" s="48"/>
      <c r="C789" s="48"/>
      <c r="D789" s="48"/>
      <c r="E789" s="48"/>
      <c r="F789" s="49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8.75" customHeight="1" x14ac:dyDescent="0.45">
      <c r="A790" s="48"/>
      <c r="B790" s="48"/>
      <c r="C790" s="48"/>
      <c r="D790" s="48"/>
      <c r="E790" s="48"/>
      <c r="F790" s="49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8.75" customHeight="1" x14ac:dyDescent="0.45">
      <c r="A791" s="48"/>
      <c r="B791" s="48"/>
      <c r="C791" s="48"/>
      <c r="D791" s="48"/>
      <c r="E791" s="48"/>
      <c r="F791" s="49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8.75" customHeight="1" x14ac:dyDescent="0.45">
      <c r="A792" s="48"/>
      <c r="B792" s="48"/>
      <c r="C792" s="48"/>
      <c r="D792" s="48"/>
      <c r="E792" s="48"/>
      <c r="F792" s="49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8.75" customHeight="1" x14ac:dyDescent="0.45">
      <c r="A793" s="48"/>
      <c r="B793" s="48"/>
      <c r="C793" s="48"/>
      <c r="D793" s="48"/>
      <c r="E793" s="48"/>
      <c r="F793" s="49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8.75" customHeight="1" x14ac:dyDescent="0.45">
      <c r="A794" s="48"/>
      <c r="B794" s="48"/>
      <c r="C794" s="48"/>
      <c r="D794" s="48"/>
      <c r="E794" s="48"/>
      <c r="F794" s="49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8.75" customHeight="1" x14ac:dyDescent="0.45">
      <c r="A795" s="48"/>
      <c r="B795" s="48"/>
      <c r="C795" s="48"/>
      <c r="D795" s="48"/>
      <c r="E795" s="48"/>
      <c r="F795" s="49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8.75" customHeight="1" x14ac:dyDescent="0.45">
      <c r="A796" s="48"/>
      <c r="B796" s="48"/>
      <c r="C796" s="48"/>
      <c r="D796" s="48"/>
      <c r="E796" s="48"/>
      <c r="F796" s="49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8.75" customHeight="1" x14ac:dyDescent="0.45">
      <c r="A797" s="48"/>
      <c r="B797" s="48"/>
      <c r="C797" s="48"/>
      <c r="D797" s="48"/>
      <c r="E797" s="48"/>
      <c r="F797" s="49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8.75" customHeight="1" x14ac:dyDescent="0.45">
      <c r="A798" s="48"/>
      <c r="B798" s="48"/>
      <c r="C798" s="48"/>
      <c r="D798" s="48"/>
      <c r="E798" s="48"/>
      <c r="F798" s="49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8.75" customHeight="1" x14ac:dyDescent="0.45">
      <c r="A799" s="48"/>
      <c r="B799" s="48"/>
      <c r="C799" s="48"/>
      <c r="D799" s="48"/>
      <c r="E799" s="48"/>
      <c r="F799" s="49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8.75" customHeight="1" x14ac:dyDescent="0.45">
      <c r="A800" s="48"/>
      <c r="B800" s="48"/>
      <c r="C800" s="48"/>
      <c r="D800" s="48"/>
      <c r="E800" s="48"/>
      <c r="F800" s="49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8.75" customHeight="1" x14ac:dyDescent="0.45">
      <c r="A801" s="48"/>
      <c r="B801" s="48"/>
      <c r="C801" s="48"/>
      <c r="D801" s="48"/>
      <c r="E801" s="48"/>
      <c r="F801" s="49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8.75" customHeight="1" x14ac:dyDescent="0.45">
      <c r="A802" s="48"/>
      <c r="B802" s="48"/>
      <c r="C802" s="48"/>
      <c r="D802" s="48"/>
      <c r="E802" s="48"/>
      <c r="F802" s="49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8.75" customHeight="1" x14ac:dyDescent="0.45">
      <c r="A803" s="48"/>
      <c r="B803" s="48"/>
      <c r="C803" s="48"/>
      <c r="D803" s="48"/>
      <c r="E803" s="48"/>
      <c r="F803" s="49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8.75" customHeight="1" x14ac:dyDescent="0.45">
      <c r="A804" s="48"/>
      <c r="B804" s="48"/>
      <c r="C804" s="48"/>
      <c r="D804" s="48"/>
      <c r="E804" s="48"/>
      <c r="F804" s="49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8.75" customHeight="1" x14ac:dyDescent="0.45">
      <c r="A805" s="48"/>
      <c r="B805" s="48"/>
      <c r="C805" s="48"/>
      <c r="D805" s="48"/>
      <c r="E805" s="48"/>
      <c r="F805" s="49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8.75" customHeight="1" x14ac:dyDescent="0.45">
      <c r="A806" s="48"/>
      <c r="B806" s="48"/>
      <c r="C806" s="48"/>
      <c r="D806" s="48"/>
      <c r="E806" s="48"/>
      <c r="F806" s="49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8.75" customHeight="1" x14ac:dyDescent="0.45">
      <c r="A807" s="48"/>
      <c r="B807" s="48"/>
      <c r="C807" s="48"/>
      <c r="D807" s="48"/>
      <c r="E807" s="48"/>
      <c r="F807" s="49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8.75" customHeight="1" x14ac:dyDescent="0.45">
      <c r="A808" s="48"/>
      <c r="B808" s="48"/>
      <c r="C808" s="48"/>
      <c r="D808" s="48"/>
      <c r="E808" s="48"/>
      <c r="F808" s="49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8.75" customHeight="1" x14ac:dyDescent="0.45">
      <c r="A809" s="48"/>
      <c r="B809" s="48"/>
      <c r="C809" s="48"/>
      <c r="D809" s="48"/>
      <c r="E809" s="48"/>
      <c r="F809" s="49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8.75" customHeight="1" x14ac:dyDescent="0.45">
      <c r="A810" s="48"/>
      <c r="B810" s="48"/>
      <c r="C810" s="48"/>
      <c r="D810" s="48"/>
      <c r="E810" s="48"/>
      <c r="F810" s="49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8.75" customHeight="1" x14ac:dyDescent="0.45">
      <c r="A811" s="48"/>
      <c r="B811" s="48"/>
      <c r="C811" s="48"/>
      <c r="D811" s="48"/>
      <c r="E811" s="48"/>
      <c r="F811" s="49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8.75" customHeight="1" x14ac:dyDescent="0.45">
      <c r="A812" s="48"/>
      <c r="B812" s="48"/>
      <c r="C812" s="48"/>
      <c r="D812" s="48"/>
      <c r="E812" s="48"/>
      <c r="F812" s="49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8.75" customHeight="1" x14ac:dyDescent="0.45">
      <c r="A813" s="48"/>
      <c r="B813" s="48"/>
      <c r="C813" s="48"/>
      <c r="D813" s="48"/>
      <c r="E813" s="48"/>
      <c r="F813" s="49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8.75" customHeight="1" x14ac:dyDescent="0.45">
      <c r="A814" s="48"/>
      <c r="B814" s="48"/>
      <c r="C814" s="48"/>
      <c r="D814" s="48"/>
      <c r="E814" s="48"/>
      <c r="F814" s="49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8.75" customHeight="1" x14ac:dyDescent="0.45">
      <c r="A815" s="48"/>
      <c r="B815" s="48"/>
      <c r="C815" s="48"/>
      <c r="D815" s="48"/>
      <c r="E815" s="48"/>
      <c r="F815" s="49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8.75" customHeight="1" x14ac:dyDescent="0.45">
      <c r="A816" s="48"/>
      <c r="B816" s="48"/>
      <c r="C816" s="48"/>
      <c r="D816" s="48"/>
      <c r="E816" s="48"/>
      <c r="F816" s="49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8.75" customHeight="1" x14ac:dyDescent="0.45">
      <c r="A817" s="48"/>
      <c r="B817" s="48"/>
      <c r="C817" s="48"/>
      <c r="D817" s="48"/>
      <c r="E817" s="48"/>
      <c r="F817" s="49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8.75" customHeight="1" x14ac:dyDescent="0.45">
      <c r="A818" s="48"/>
      <c r="B818" s="48"/>
      <c r="C818" s="48"/>
      <c r="D818" s="48"/>
      <c r="E818" s="48"/>
      <c r="F818" s="49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8.75" customHeight="1" x14ac:dyDescent="0.45">
      <c r="A819" s="48"/>
      <c r="B819" s="48"/>
      <c r="C819" s="48"/>
      <c r="D819" s="48"/>
      <c r="E819" s="48"/>
      <c r="F819" s="49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8.75" customHeight="1" x14ac:dyDescent="0.45">
      <c r="A820" s="48"/>
      <c r="B820" s="48"/>
      <c r="C820" s="48"/>
      <c r="D820" s="48"/>
      <c r="E820" s="48"/>
      <c r="F820" s="49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8.75" customHeight="1" x14ac:dyDescent="0.45">
      <c r="A821" s="48"/>
      <c r="B821" s="48"/>
      <c r="C821" s="48"/>
      <c r="D821" s="48"/>
      <c r="E821" s="48"/>
      <c r="F821" s="49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8.75" customHeight="1" x14ac:dyDescent="0.45">
      <c r="A822" s="48"/>
      <c r="B822" s="48"/>
      <c r="C822" s="48"/>
      <c r="D822" s="48"/>
      <c r="E822" s="48"/>
      <c r="F822" s="49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8.75" customHeight="1" x14ac:dyDescent="0.45">
      <c r="A823" s="48"/>
      <c r="B823" s="48"/>
      <c r="C823" s="48"/>
      <c r="D823" s="48"/>
      <c r="E823" s="48"/>
      <c r="F823" s="49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8.75" customHeight="1" x14ac:dyDescent="0.45">
      <c r="A824" s="48"/>
      <c r="B824" s="48"/>
      <c r="C824" s="48"/>
      <c r="D824" s="48"/>
      <c r="E824" s="48"/>
      <c r="F824" s="49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8.75" customHeight="1" x14ac:dyDescent="0.45">
      <c r="A825" s="48"/>
      <c r="B825" s="48"/>
      <c r="C825" s="48"/>
      <c r="D825" s="48"/>
      <c r="E825" s="48"/>
      <c r="F825" s="49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8.75" customHeight="1" x14ac:dyDescent="0.45">
      <c r="A826" s="48"/>
      <c r="B826" s="48"/>
      <c r="C826" s="48"/>
      <c r="D826" s="48"/>
      <c r="E826" s="48"/>
      <c r="F826" s="49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8.75" customHeight="1" x14ac:dyDescent="0.45">
      <c r="A827" s="48"/>
      <c r="B827" s="48"/>
      <c r="C827" s="48"/>
      <c r="D827" s="48"/>
      <c r="E827" s="48"/>
      <c r="F827" s="49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8.75" customHeight="1" x14ac:dyDescent="0.45">
      <c r="A828" s="48"/>
      <c r="B828" s="48"/>
      <c r="C828" s="48"/>
      <c r="D828" s="48"/>
      <c r="E828" s="48"/>
      <c r="F828" s="49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8.75" customHeight="1" x14ac:dyDescent="0.45">
      <c r="A829" s="48"/>
      <c r="B829" s="48"/>
      <c r="C829" s="48"/>
      <c r="D829" s="48"/>
      <c r="E829" s="48"/>
      <c r="F829" s="49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8.75" customHeight="1" x14ac:dyDescent="0.45">
      <c r="A830" s="48"/>
      <c r="B830" s="48"/>
      <c r="C830" s="48"/>
      <c r="D830" s="48"/>
      <c r="E830" s="48"/>
      <c r="F830" s="49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8.75" customHeight="1" x14ac:dyDescent="0.45">
      <c r="A831" s="48"/>
      <c r="B831" s="48"/>
      <c r="C831" s="48"/>
      <c r="D831" s="48"/>
      <c r="E831" s="48"/>
      <c r="F831" s="49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8.75" customHeight="1" x14ac:dyDescent="0.45">
      <c r="A832" s="48"/>
      <c r="B832" s="48"/>
      <c r="C832" s="48"/>
      <c r="D832" s="48"/>
      <c r="E832" s="48"/>
      <c r="F832" s="49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8.75" customHeight="1" x14ac:dyDescent="0.45">
      <c r="A833" s="48"/>
      <c r="B833" s="48"/>
      <c r="C833" s="48"/>
      <c r="D833" s="48"/>
      <c r="E833" s="48"/>
      <c r="F833" s="49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8.75" customHeight="1" x14ac:dyDescent="0.45">
      <c r="A834" s="48"/>
      <c r="B834" s="48"/>
      <c r="C834" s="48"/>
      <c r="D834" s="48"/>
      <c r="E834" s="48"/>
      <c r="F834" s="49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8.75" customHeight="1" x14ac:dyDescent="0.45">
      <c r="A835" s="48"/>
      <c r="B835" s="48"/>
      <c r="C835" s="48"/>
      <c r="D835" s="48"/>
      <c r="E835" s="48"/>
      <c r="F835" s="49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8.75" customHeight="1" x14ac:dyDescent="0.45">
      <c r="A836" s="48"/>
      <c r="B836" s="48"/>
      <c r="C836" s="48"/>
      <c r="D836" s="48"/>
      <c r="E836" s="48"/>
      <c r="F836" s="49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8.75" customHeight="1" x14ac:dyDescent="0.45">
      <c r="A837" s="48"/>
      <c r="B837" s="48"/>
      <c r="C837" s="48"/>
      <c r="D837" s="48"/>
      <c r="E837" s="48"/>
      <c r="F837" s="49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8.75" customHeight="1" x14ac:dyDescent="0.45">
      <c r="A838" s="48"/>
      <c r="B838" s="48"/>
      <c r="C838" s="48"/>
      <c r="D838" s="48"/>
      <c r="E838" s="48"/>
      <c r="F838" s="49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8.75" customHeight="1" x14ac:dyDescent="0.45">
      <c r="A839" s="48"/>
      <c r="B839" s="48"/>
      <c r="C839" s="48"/>
      <c r="D839" s="48"/>
      <c r="E839" s="48"/>
      <c r="F839" s="49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8.75" customHeight="1" x14ac:dyDescent="0.45">
      <c r="A840" s="48"/>
      <c r="B840" s="48"/>
      <c r="C840" s="48"/>
      <c r="D840" s="48"/>
      <c r="E840" s="48"/>
      <c r="F840" s="49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8.75" customHeight="1" x14ac:dyDescent="0.45">
      <c r="A841" s="48"/>
      <c r="B841" s="48"/>
      <c r="C841" s="48"/>
      <c r="D841" s="48"/>
      <c r="E841" s="48"/>
      <c r="F841" s="49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8.75" customHeight="1" x14ac:dyDescent="0.45">
      <c r="A842" s="48"/>
      <c r="B842" s="48"/>
      <c r="C842" s="48"/>
      <c r="D842" s="48"/>
      <c r="E842" s="48"/>
      <c r="F842" s="49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8.75" customHeight="1" x14ac:dyDescent="0.45">
      <c r="A843" s="48"/>
      <c r="B843" s="48"/>
      <c r="C843" s="48"/>
      <c r="D843" s="48"/>
      <c r="E843" s="48"/>
      <c r="F843" s="49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8.75" customHeight="1" x14ac:dyDescent="0.45">
      <c r="A844" s="48"/>
      <c r="B844" s="48"/>
      <c r="C844" s="48"/>
      <c r="D844" s="48"/>
      <c r="E844" s="48"/>
      <c r="F844" s="49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8.75" customHeight="1" x14ac:dyDescent="0.45">
      <c r="A845" s="48"/>
      <c r="B845" s="48"/>
      <c r="C845" s="48"/>
      <c r="D845" s="48"/>
      <c r="E845" s="48"/>
      <c r="F845" s="49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8.75" customHeight="1" x14ac:dyDescent="0.45">
      <c r="A846" s="48"/>
      <c r="B846" s="48"/>
      <c r="C846" s="48"/>
      <c r="D846" s="48"/>
      <c r="E846" s="48"/>
      <c r="F846" s="49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8.75" customHeight="1" x14ac:dyDescent="0.45">
      <c r="A847" s="48"/>
      <c r="B847" s="48"/>
      <c r="C847" s="48"/>
      <c r="D847" s="48"/>
      <c r="E847" s="48"/>
      <c r="F847" s="49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8.75" customHeight="1" x14ac:dyDescent="0.45">
      <c r="A848" s="48"/>
      <c r="B848" s="48"/>
      <c r="C848" s="48"/>
      <c r="D848" s="48"/>
      <c r="E848" s="48"/>
      <c r="F848" s="49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8.75" customHeight="1" x14ac:dyDescent="0.45">
      <c r="A849" s="48"/>
      <c r="B849" s="48"/>
      <c r="C849" s="48"/>
      <c r="D849" s="48"/>
      <c r="E849" s="48"/>
      <c r="F849" s="49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8.75" customHeight="1" x14ac:dyDescent="0.45">
      <c r="A850" s="48"/>
      <c r="B850" s="48"/>
      <c r="C850" s="48"/>
      <c r="D850" s="48"/>
      <c r="E850" s="48"/>
      <c r="F850" s="49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8.75" customHeight="1" x14ac:dyDescent="0.45">
      <c r="A851" s="48"/>
      <c r="B851" s="48"/>
      <c r="C851" s="48"/>
      <c r="D851" s="48"/>
      <c r="E851" s="48"/>
      <c r="F851" s="49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8.75" customHeight="1" x14ac:dyDescent="0.45">
      <c r="A852" s="48"/>
      <c r="B852" s="48"/>
      <c r="C852" s="48"/>
      <c r="D852" s="48"/>
      <c r="E852" s="48"/>
      <c r="F852" s="49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8.75" customHeight="1" x14ac:dyDescent="0.45">
      <c r="A853" s="48"/>
      <c r="B853" s="48"/>
      <c r="C853" s="48"/>
      <c r="D853" s="48"/>
      <c r="E853" s="48"/>
      <c r="F853" s="49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8.75" customHeight="1" x14ac:dyDescent="0.45">
      <c r="A854" s="48"/>
      <c r="B854" s="48"/>
      <c r="C854" s="48"/>
      <c r="D854" s="48"/>
      <c r="E854" s="48"/>
      <c r="F854" s="49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8.75" customHeight="1" x14ac:dyDescent="0.45">
      <c r="A855" s="48"/>
      <c r="B855" s="48"/>
      <c r="C855" s="48"/>
      <c r="D855" s="48"/>
      <c r="E855" s="48"/>
      <c r="F855" s="49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8.75" customHeight="1" x14ac:dyDescent="0.45">
      <c r="A856" s="48"/>
      <c r="B856" s="48"/>
      <c r="C856" s="48"/>
      <c r="D856" s="48"/>
      <c r="E856" s="48"/>
      <c r="F856" s="49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8.75" customHeight="1" x14ac:dyDescent="0.45">
      <c r="A857" s="48"/>
      <c r="B857" s="48"/>
      <c r="C857" s="48"/>
      <c r="D857" s="48"/>
      <c r="E857" s="48"/>
      <c r="F857" s="49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8.75" customHeight="1" x14ac:dyDescent="0.45">
      <c r="A858" s="48"/>
      <c r="B858" s="48"/>
      <c r="C858" s="48"/>
      <c r="D858" s="48"/>
      <c r="E858" s="48"/>
      <c r="F858" s="49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8.75" customHeight="1" x14ac:dyDescent="0.45">
      <c r="A859" s="48"/>
      <c r="B859" s="48"/>
      <c r="C859" s="48"/>
      <c r="D859" s="48"/>
      <c r="E859" s="48"/>
      <c r="F859" s="49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8.75" customHeight="1" x14ac:dyDescent="0.45">
      <c r="A860" s="48"/>
      <c r="B860" s="48"/>
      <c r="C860" s="48"/>
      <c r="D860" s="48"/>
      <c r="E860" s="48"/>
      <c r="F860" s="49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8.75" customHeight="1" x14ac:dyDescent="0.45">
      <c r="A861" s="48"/>
      <c r="B861" s="48"/>
      <c r="C861" s="48"/>
      <c r="D861" s="48"/>
      <c r="E861" s="48"/>
      <c r="F861" s="49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8.75" customHeight="1" x14ac:dyDescent="0.45">
      <c r="A862" s="48"/>
      <c r="B862" s="48"/>
      <c r="C862" s="48"/>
      <c r="D862" s="48"/>
      <c r="E862" s="48"/>
      <c r="F862" s="49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8.75" customHeight="1" x14ac:dyDescent="0.45">
      <c r="A863" s="48"/>
      <c r="B863" s="48"/>
      <c r="C863" s="48"/>
      <c r="D863" s="48"/>
      <c r="E863" s="48"/>
      <c r="F863" s="49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8.75" customHeight="1" x14ac:dyDescent="0.45">
      <c r="A864" s="48"/>
      <c r="B864" s="48"/>
      <c r="C864" s="48"/>
      <c r="D864" s="48"/>
      <c r="E864" s="48"/>
      <c r="F864" s="49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8.75" customHeight="1" x14ac:dyDescent="0.45">
      <c r="A865" s="48"/>
      <c r="B865" s="48"/>
      <c r="C865" s="48"/>
      <c r="D865" s="48"/>
      <c r="E865" s="48"/>
      <c r="F865" s="49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8.75" customHeight="1" x14ac:dyDescent="0.45">
      <c r="A866" s="48"/>
      <c r="B866" s="48"/>
      <c r="C866" s="48"/>
      <c r="D866" s="48"/>
      <c r="E866" s="48"/>
      <c r="F866" s="49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8.75" customHeight="1" x14ac:dyDescent="0.45">
      <c r="A867" s="48"/>
      <c r="B867" s="48"/>
      <c r="C867" s="48"/>
      <c r="D867" s="48"/>
      <c r="E867" s="48"/>
      <c r="F867" s="49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8.75" customHeight="1" x14ac:dyDescent="0.45">
      <c r="A868" s="48"/>
      <c r="B868" s="48"/>
      <c r="C868" s="48"/>
      <c r="D868" s="48"/>
      <c r="E868" s="48"/>
      <c r="F868" s="49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8.75" customHeight="1" x14ac:dyDescent="0.45">
      <c r="A869" s="48"/>
      <c r="B869" s="48"/>
      <c r="C869" s="48"/>
      <c r="D869" s="48"/>
      <c r="E869" s="48"/>
      <c r="F869" s="49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8.75" customHeight="1" x14ac:dyDescent="0.45">
      <c r="A870" s="48"/>
      <c r="B870" s="48"/>
      <c r="C870" s="48"/>
      <c r="D870" s="48"/>
      <c r="E870" s="48"/>
      <c r="F870" s="49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8.75" customHeight="1" x14ac:dyDescent="0.45">
      <c r="A871" s="48"/>
      <c r="B871" s="48"/>
      <c r="C871" s="48"/>
      <c r="D871" s="48"/>
      <c r="E871" s="48"/>
      <c r="F871" s="49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8.75" customHeight="1" x14ac:dyDescent="0.45">
      <c r="A872" s="48"/>
      <c r="B872" s="48"/>
      <c r="C872" s="48"/>
      <c r="D872" s="48"/>
      <c r="E872" s="48"/>
      <c r="F872" s="49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8.75" customHeight="1" x14ac:dyDescent="0.45">
      <c r="A873" s="48"/>
      <c r="B873" s="48"/>
      <c r="C873" s="48"/>
      <c r="D873" s="48"/>
      <c r="E873" s="48"/>
      <c r="F873" s="49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8.75" customHeight="1" x14ac:dyDescent="0.45">
      <c r="A874" s="48"/>
      <c r="B874" s="48"/>
      <c r="C874" s="48"/>
      <c r="D874" s="48"/>
      <c r="E874" s="48"/>
      <c r="F874" s="49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8.75" customHeight="1" x14ac:dyDescent="0.45">
      <c r="A875" s="48"/>
      <c r="B875" s="48"/>
      <c r="C875" s="48"/>
      <c r="D875" s="48"/>
      <c r="E875" s="48"/>
      <c r="F875" s="49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8.75" customHeight="1" x14ac:dyDescent="0.45">
      <c r="A876" s="48"/>
      <c r="B876" s="48"/>
      <c r="C876" s="48"/>
      <c r="D876" s="48"/>
      <c r="E876" s="48"/>
      <c r="F876" s="49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8.75" customHeight="1" x14ac:dyDescent="0.45">
      <c r="A877" s="48"/>
      <c r="B877" s="48"/>
      <c r="C877" s="48"/>
      <c r="D877" s="48"/>
      <c r="E877" s="48"/>
      <c r="F877" s="49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8.75" customHeight="1" x14ac:dyDescent="0.45">
      <c r="A878" s="48"/>
      <c r="B878" s="48"/>
      <c r="C878" s="48"/>
      <c r="D878" s="48"/>
      <c r="E878" s="48"/>
      <c r="F878" s="49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8.75" customHeight="1" x14ac:dyDescent="0.45">
      <c r="A879" s="48"/>
      <c r="B879" s="48"/>
      <c r="C879" s="48"/>
      <c r="D879" s="48"/>
      <c r="E879" s="48"/>
      <c r="F879" s="49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8.75" customHeight="1" x14ac:dyDescent="0.45">
      <c r="A880" s="48"/>
      <c r="B880" s="48"/>
      <c r="C880" s="48"/>
      <c r="D880" s="48"/>
      <c r="E880" s="48"/>
      <c r="F880" s="49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8.75" customHeight="1" x14ac:dyDescent="0.45">
      <c r="A881" s="48"/>
      <c r="B881" s="48"/>
      <c r="C881" s="48"/>
      <c r="D881" s="48"/>
      <c r="E881" s="48"/>
      <c r="F881" s="49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8.75" customHeight="1" x14ac:dyDescent="0.45">
      <c r="A882" s="48"/>
      <c r="B882" s="48"/>
      <c r="C882" s="48"/>
      <c r="D882" s="48"/>
      <c r="E882" s="48"/>
      <c r="F882" s="49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8.75" customHeight="1" x14ac:dyDescent="0.45">
      <c r="A883" s="48"/>
      <c r="B883" s="48"/>
      <c r="C883" s="48"/>
      <c r="D883" s="48"/>
      <c r="E883" s="48"/>
      <c r="F883" s="49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8.75" customHeight="1" x14ac:dyDescent="0.45">
      <c r="A884" s="48"/>
      <c r="B884" s="48"/>
      <c r="C884" s="48"/>
      <c r="D884" s="48"/>
      <c r="E884" s="48"/>
      <c r="F884" s="49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8.75" customHeight="1" x14ac:dyDescent="0.45">
      <c r="A885" s="48"/>
      <c r="B885" s="48"/>
      <c r="C885" s="48"/>
      <c r="D885" s="48"/>
      <c r="E885" s="48"/>
      <c r="F885" s="49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8.75" customHeight="1" x14ac:dyDescent="0.45">
      <c r="A886" s="48"/>
      <c r="B886" s="48"/>
      <c r="C886" s="48"/>
      <c r="D886" s="48"/>
      <c r="E886" s="48"/>
      <c r="F886" s="49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8.75" customHeight="1" x14ac:dyDescent="0.45">
      <c r="A887" s="48"/>
      <c r="B887" s="48"/>
      <c r="C887" s="48"/>
      <c r="D887" s="48"/>
      <c r="E887" s="48"/>
      <c r="F887" s="49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8.75" customHeight="1" x14ac:dyDescent="0.45">
      <c r="A888" s="48"/>
      <c r="B888" s="48"/>
      <c r="C888" s="48"/>
      <c r="D888" s="48"/>
      <c r="E888" s="48"/>
      <c r="F888" s="49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8.75" customHeight="1" x14ac:dyDescent="0.45">
      <c r="A889" s="48"/>
      <c r="B889" s="48"/>
      <c r="C889" s="48"/>
      <c r="D889" s="48"/>
      <c r="E889" s="48"/>
      <c r="F889" s="49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8.75" customHeight="1" x14ac:dyDescent="0.45">
      <c r="A890" s="48"/>
      <c r="B890" s="48"/>
      <c r="C890" s="48"/>
      <c r="D890" s="48"/>
      <c r="E890" s="48"/>
      <c r="F890" s="49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8.75" customHeight="1" x14ac:dyDescent="0.45">
      <c r="A891" s="48"/>
      <c r="B891" s="48"/>
      <c r="C891" s="48"/>
      <c r="D891" s="48"/>
      <c r="E891" s="48"/>
      <c r="F891" s="49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8.75" customHeight="1" x14ac:dyDescent="0.45">
      <c r="A892" s="48"/>
      <c r="B892" s="48"/>
      <c r="C892" s="48"/>
      <c r="D892" s="48"/>
      <c r="E892" s="48"/>
      <c r="F892" s="49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8.75" customHeight="1" x14ac:dyDescent="0.45">
      <c r="A893" s="48"/>
      <c r="B893" s="48"/>
      <c r="C893" s="48"/>
      <c r="D893" s="48"/>
      <c r="E893" s="48"/>
      <c r="F893" s="49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8.75" customHeight="1" x14ac:dyDescent="0.45">
      <c r="A894" s="48"/>
      <c r="B894" s="48"/>
      <c r="C894" s="48"/>
      <c r="D894" s="48"/>
      <c r="E894" s="48"/>
      <c r="F894" s="49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8.75" customHeight="1" x14ac:dyDescent="0.45">
      <c r="A895" s="48"/>
      <c r="B895" s="48"/>
      <c r="C895" s="48"/>
      <c r="D895" s="48"/>
      <c r="E895" s="48"/>
      <c r="F895" s="49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8.75" customHeight="1" x14ac:dyDescent="0.45">
      <c r="A896" s="48"/>
      <c r="B896" s="48"/>
      <c r="C896" s="48"/>
      <c r="D896" s="48"/>
      <c r="E896" s="48"/>
      <c r="F896" s="49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8.75" customHeight="1" x14ac:dyDescent="0.45">
      <c r="A897" s="48"/>
      <c r="B897" s="48"/>
      <c r="C897" s="48"/>
      <c r="D897" s="48"/>
      <c r="E897" s="48"/>
      <c r="F897" s="49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8.75" customHeight="1" x14ac:dyDescent="0.45">
      <c r="A898" s="48"/>
      <c r="B898" s="48"/>
      <c r="C898" s="48"/>
      <c r="D898" s="48"/>
      <c r="E898" s="48"/>
      <c r="F898" s="49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8.75" customHeight="1" x14ac:dyDescent="0.45">
      <c r="A899" s="48"/>
      <c r="B899" s="48"/>
      <c r="C899" s="48"/>
      <c r="D899" s="48"/>
      <c r="E899" s="48"/>
      <c r="F899" s="49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8.75" customHeight="1" x14ac:dyDescent="0.45">
      <c r="A900" s="48"/>
      <c r="B900" s="48"/>
      <c r="C900" s="48"/>
      <c r="D900" s="48"/>
      <c r="E900" s="48"/>
      <c r="F900" s="49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8.75" customHeight="1" x14ac:dyDescent="0.45">
      <c r="A901" s="48"/>
      <c r="B901" s="48"/>
      <c r="C901" s="48"/>
      <c r="D901" s="48"/>
      <c r="E901" s="48"/>
      <c r="F901" s="49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8.75" customHeight="1" x14ac:dyDescent="0.45">
      <c r="A902" s="48"/>
      <c r="B902" s="48"/>
      <c r="C902" s="48"/>
      <c r="D902" s="48"/>
      <c r="E902" s="48"/>
      <c r="F902" s="49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8.75" customHeight="1" x14ac:dyDescent="0.45">
      <c r="A903" s="48"/>
      <c r="B903" s="48"/>
      <c r="C903" s="48"/>
      <c r="D903" s="48"/>
      <c r="E903" s="48"/>
      <c r="F903" s="49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8.75" customHeight="1" x14ac:dyDescent="0.45">
      <c r="A904" s="48"/>
      <c r="B904" s="48"/>
      <c r="C904" s="48"/>
      <c r="D904" s="48"/>
      <c r="E904" s="48"/>
      <c r="F904" s="49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8.75" customHeight="1" x14ac:dyDescent="0.45">
      <c r="A905" s="48"/>
      <c r="B905" s="48"/>
      <c r="C905" s="48"/>
      <c r="D905" s="48"/>
      <c r="E905" s="48"/>
      <c r="F905" s="49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8.75" customHeight="1" x14ac:dyDescent="0.45">
      <c r="A906" s="48"/>
      <c r="B906" s="48"/>
      <c r="C906" s="48"/>
      <c r="D906" s="48"/>
      <c r="E906" s="48"/>
      <c r="F906" s="49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8.75" customHeight="1" x14ac:dyDescent="0.45">
      <c r="A907" s="48"/>
      <c r="B907" s="48"/>
      <c r="C907" s="48"/>
      <c r="D907" s="48"/>
      <c r="E907" s="48"/>
      <c r="F907" s="49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8.75" customHeight="1" x14ac:dyDescent="0.45">
      <c r="A908" s="48"/>
      <c r="B908" s="48"/>
      <c r="C908" s="48"/>
      <c r="D908" s="48"/>
      <c r="E908" s="48"/>
      <c r="F908" s="49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8.75" customHeight="1" x14ac:dyDescent="0.45">
      <c r="A909" s="48"/>
      <c r="B909" s="48"/>
      <c r="C909" s="48"/>
      <c r="D909" s="48"/>
      <c r="E909" s="48"/>
      <c r="F909" s="49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8.75" customHeight="1" x14ac:dyDescent="0.45">
      <c r="A910" s="48"/>
      <c r="B910" s="48"/>
      <c r="C910" s="48"/>
      <c r="D910" s="48"/>
      <c r="E910" s="48"/>
      <c r="F910" s="49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8.75" customHeight="1" x14ac:dyDescent="0.45">
      <c r="A911" s="48"/>
      <c r="B911" s="48"/>
      <c r="C911" s="48"/>
      <c r="D911" s="48"/>
      <c r="E911" s="48"/>
      <c r="F911" s="49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8.75" customHeight="1" x14ac:dyDescent="0.45">
      <c r="A912" s="48"/>
      <c r="B912" s="48"/>
      <c r="C912" s="48"/>
      <c r="D912" s="48"/>
      <c r="E912" s="48"/>
      <c r="F912" s="49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8.75" customHeight="1" x14ac:dyDescent="0.45">
      <c r="A913" s="48"/>
      <c r="B913" s="48"/>
      <c r="C913" s="48"/>
      <c r="D913" s="48"/>
      <c r="E913" s="48"/>
      <c r="F913" s="49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8.75" customHeight="1" x14ac:dyDescent="0.45">
      <c r="A914" s="48"/>
      <c r="B914" s="48"/>
      <c r="C914" s="48"/>
      <c r="D914" s="48"/>
      <c r="E914" s="48"/>
      <c r="F914" s="49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8.75" customHeight="1" x14ac:dyDescent="0.45">
      <c r="A915" s="48"/>
      <c r="B915" s="48"/>
      <c r="C915" s="48"/>
      <c r="D915" s="48"/>
      <c r="E915" s="48"/>
      <c r="F915" s="49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8.75" customHeight="1" x14ac:dyDescent="0.45">
      <c r="A916" s="48"/>
      <c r="B916" s="48"/>
      <c r="C916" s="48"/>
      <c r="D916" s="48"/>
      <c r="E916" s="48"/>
      <c r="F916" s="49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8.75" customHeight="1" x14ac:dyDescent="0.45">
      <c r="A917" s="48"/>
      <c r="B917" s="48"/>
      <c r="C917" s="48"/>
      <c r="D917" s="48"/>
      <c r="E917" s="48"/>
      <c r="F917" s="49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8.75" customHeight="1" x14ac:dyDescent="0.45">
      <c r="A918" s="48"/>
      <c r="B918" s="48"/>
      <c r="C918" s="48"/>
      <c r="D918" s="48"/>
      <c r="E918" s="48"/>
      <c r="F918" s="49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8.75" customHeight="1" x14ac:dyDescent="0.45">
      <c r="A919" s="48"/>
      <c r="B919" s="48"/>
      <c r="C919" s="48"/>
      <c r="D919" s="48"/>
      <c r="E919" s="48"/>
      <c r="F919" s="49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8.75" customHeight="1" x14ac:dyDescent="0.45">
      <c r="A920" s="48"/>
      <c r="B920" s="48"/>
      <c r="C920" s="48"/>
      <c r="D920" s="48"/>
      <c r="E920" s="48"/>
      <c r="F920" s="49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8.75" customHeight="1" x14ac:dyDescent="0.45">
      <c r="A921" s="48"/>
      <c r="B921" s="48"/>
      <c r="C921" s="48"/>
      <c r="D921" s="48"/>
      <c r="E921" s="48"/>
      <c r="F921" s="49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8.75" customHeight="1" x14ac:dyDescent="0.45">
      <c r="A922" s="48"/>
      <c r="B922" s="48"/>
      <c r="C922" s="48"/>
      <c r="D922" s="48"/>
      <c r="E922" s="48"/>
      <c r="F922" s="49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8.75" customHeight="1" x14ac:dyDescent="0.45">
      <c r="A923" s="48"/>
      <c r="B923" s="48"/>
      <c r="C923" s="48"/>
      <c r="D923" s="48"/>
      <c r="E923" s="48"/>
      <c r="F923" s="49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8.75" customHeight="1" x14ac:dyDescent="0.45">
      <c r="A924" s="48"/>
      <c r="B924" s="48"/>
      <c r="C924" s="48"/>
      <c r="D924" s="48"/>
      <c r="E924" s="48"/>
      <c r="F924" s="49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8.75" customHeight="1" x14ac:dyDescent="0.45">
      <c r="A925" s="48"/>
      <c r="B925" s="48"/>
      <c r="C925" s="48"/>
      <c r="D925" s="48"/>
      <c r="E925" s="48"/>
      <c r="F925" s="49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8.75" customHeight="1" x14ac:dyDescent="0.45">
      <c r="A926" s="48"/>
      <c r="B926" s="48"/>
      <c r="C926" s="48"/>
      <c r="D926" s="48"/>
      <c r="E926" s="48"/>
      <c r="F926" s="49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8.75" customHeight="1" x14ac:dyDescent="0.45">
      <c r="A927" s="48"/>
      <c r="B927" s="48"/>
      <c r="C927" s="48"/>
      <c r="D927" s="48"/>
      <c r="E927" s="48"/>
      <c r="F927" s="49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8.75" customHeight="1" x14ac:dyDescent="0.45">
      <c r="A928" s="48"/>
      <c r="B928" s="48"/>
      <c r="C928" s="48"/>
      <c r="D928" s="48"/>
      <c r="E928" s="48"/>
      <c r="F928" s="49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8.75" customHeight="1" x14ac:dyDescent="0.45">
      <c r="A929" s="48"/>
      <c r="B929" s="48"/>
      <c r="C929" s="48"/>
      <c r="D929" s="48"/>
      <c r="E929" s="48"/>
      <c r="F929" s="49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8.75" customHeight="1" x14ac:dyDescent="0.45">
      <c r="A930" s="48"/>
      <c r="B930" s="48"/>
      <c r="C930" s="48"/>
      <c r="D930" s="48"/>
      <c r="E930" s="48"/>
      <c r="F930" s="49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8.75" customHeight="1" x14ac:dyDescent="0.45">
      <c r="A931" s="48"/>
      <c r="B931" s="48"/>
      <c r="C931" s="48"/>
      <c r="D931" s="48"/>
      <c r="E931" s="48"/>
      <c r="F931" s="49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8.75" customHeight="1" x14ac:dyDescent="0.45">
      <c r="A932" s="48"/>
      <c r="B932" s="48"/>
      <c r="C932" s="48"/>
      <c r="D932" s="48"/>
      <c r="E932" s="48"/>
      <c r="F932" s="49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8.75" customHeight="1" x14ac:dyDescent="0.45">
      <c r="A933" s="48"/>
      <c r="B933" s="48"/>
      <c r="C933" s="48"/>
      <c r="D933" s="48"/>
      <c r="E933" s="48"/>
      <c r="F933" s="49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8.75" customHeight="1" x14ac:dyDescent="0.45">
      <c r="A934" s="48"/>
      <c r="B934" s="48"/>
      <c r="C934" s="48"/>
      <c r="D934" s="48"/>
      <c r="E934" s="48"/>
      <c r="F934" s="49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8.75" customHeight="1" x14ac:dyDescent="0.45">
      <c r="A935" s="48"/>
      <c r="B935" s="48"/>
      <c r="C935" s="48"/>
      <c r="D935" s="48"/>
      <c r="E935" s="48"/>
      <c r="F935" s="49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8.75" customHeight="1" x14ac:dyDescent="0.45">
      <c r="A936" s="48"/>
      <c r="B936" s="48"/>
      <c r="C936" s="48"/>
      <c r="D936" s="48"/>
      <c r="E936" s="48"/>
      <c r="F936" s="49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8.75" customHeight="1" x14ac:dyDescent="0.45">
      <c r="A937" s="48"/>
      <c r="B937" s="48"/>
      <c r="C937" s="48"/>
      <c r="D937" s="48"/>
      <c r="E937" s="48"/>
      <c r="F937" s="49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8.75" customHeight="1" x14ac:dyDescent="0.45">
      <c r="A938" s="48"/>
      <c r="B938" s="48"/>
      <c r="C938" s="48"/>
      <c r="D938" s="48"/>
      <c r="E938" s="48"/>
      <c r="F938" s="49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8.75" customHeight="1" x14ac:dyDescent="0.45">
      <c r="A939" s="48"/>
      <c r="B939" s="48"/>
      <c r="C939" s="48"/>
      <c r="D939" s="48"/>
      <c r="E939" s="48"/>
      <c r="F939" s="49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8.75" customHeight="1" x14ac:dyDescent="0.45">
      <c r="A940" s="48"/>
      <c r="B940" s="48"/>
      <c r="C940" s="48"/>
      <c r="D940" s="48"/>
      <c r="E940" s="48"/>
      <c r="F940" s="49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8.75" customHeight="1" x14ac:dyDescent="0.45">
      <c r="A941" s="48"/>
      <c r="B941" s="48"/>
      <c r="C941" s="48"/>
      <c r="D941" s="48"/>
      <c r="E941" s="48"/>
      <c r="F941" s="49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8.75" customHeight="1" x14ac:dyDescent="0.45">
      <c r="A942" s="48"/>
      <c r="B942" s="48"/>
      <c r="C942" s="48"/>
      <c r="D942" s="48"/>
      <c r="E942" s="48"/>
      <c r="F942" s="49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8.75" customHeight="1" x14ac:dyDescent="0.45">
      <c r="A943" s="48"/>
      <c r="B943" s="48"/>
      <c r="C943" s="48"/>
      <c r="D943" s="48"/>
      <c r="E943" s="48"/>
      <c r="F943" s="49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8.75" customHeight="1" x14ac:dyDescent="0.45">
      <c r="A944" s="48"/>
      <c r="B944" s="48"/>
      <c r="C944" s="48"/>
      <c r="D944" s="48"/>
      <c r="E944" s="48"/>
      <c r="F944" s="49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8.75" customHeight="1" x14ac:dyDescent="0.45">
      <c r="A945" s="48"/>
      <c r="B945" s="48"/>
      <c r="C945" s="48"/>
      <c r="D945" s="48"/>
      <c r="E945" s="48"/>
      <c r="F945" s="49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8.75" customHeight="1" x14ac:dyDescent="0.45">
      <c r="A946" s="48"/>
      <c r="B946" s="48"/>
      <c r="C946" s="48"/>
      <c r="D946" s="48"/>
      <c r="E946" s="48"/>
      <c r="F946" s="49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8.75" customHeight="1" x14ac:dyDescent="0.45">
      <c r="A947" s="48"/>
      <c r="B947" s="48"/>
      <c r="C947" s="48"/>
      <c r="D947" s="48"/>
      <c r="E947" s="48"/>
      <c r="F947" s="49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8.75" customHeight="1" x14ac:dyDescent="0.45">
      <c r="A948" s="48"/>
      <c r="B948" s="48"/>
      <c r="C948" s="48"/>
      <c r="D948" s="48"/>
      <c r="E948" s="48"/>
      <c r="F948" s="49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8.75" customHeight="1" x14ac:dyDescent="0.45">
      <c r="A949" s="48"/>
      <c r="B949" s="48"/>
      <c r="C949" s="48"/>
      <c r="D949" s="48"/>
      <c r="E949" s="48"/>
      <c r="F949" s="49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8.75" customHeight="1" x14ac:dyDescent="0.45">
      <c r="A950" s="48"/>
      <c r="B950" s="48"/>
      <c r="C950" s="48"/>
      <c r="D950" s="48"/>
      <c r="E950" s="48"/>
      <c r="F950" s="49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8.75" customHeight="1" x14ac:dyDescent="0.45">
      <c r="A951" s="48"/>
      <c r="B951" s="48"/>
      <c r="C951" s="48"/>
      <c r="D951" s="48"/>
      <c r="E951" s="48"/>
      <c r="F951" s="49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8.75" customHeight="1" x14ac:dyDescent="0.45">
      <c r="A952" s="48"/>
      <c r="B952" s="48"/>
      <c r="C952" s="48"/>
      <c r="D952" s="48"/>
      <c r="E952" s="48"/>
      <c r="F952" s="49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8.75" customHeight="1" x14ac:dyDescent="0.45">
      <c r="A953" s="48"/>
      <c r="B953" s="48"/>
      <c r="C953" s="48"/>
      <c r="D953" s="48"/>
      <c r="E953" s="48"/>
      <c r="F953" s="49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8.75" customHeight="1" x14ac:dyDescent="0.45">
      <c r="A954" s="48"/>
      <c r="B954" s="48"/>
      <c r="C954" s="48"/>
      <c r="D954" s="48"/>
      <c r="E954" s="48"/>
      <c r="F954" s="49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8.75" customHeight="1" x14ac:dyDescent="0.45">
      <c r="A955" s="48"/>
      <c r="B955" s="48"/>
      <c r="C955" s="48"/>
      <c r="D955" s="48"/>
      <c r="E955" s="48"/>
      <c r="F955" s="49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8.75" customHeight="1" x14ac:dyDescent="0.45">
      <c r="A956" s="48"/>
      <c r="B956" s="48"/>
      <c r="C956" s="48"/>
      <c r="D956" s="48"/>
      <c r="E956" s="48"/>
      <c r="F956" s="49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8.75" customHeight="1" x14ac:dyDescent="0.45">
      <c r="A957" s="48"/>
      <c r="B957" s="48"/>
      <c r="C957" s="48"/>
      <c r="D957" s="48"/>
      <c r="E957" s="48"/>
      <c r="F957" s="49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8.75" customHeight="1" x14ac:dyDescent="0.45">
      <c r="A958" s="48"/>
      <c r="B958" s="48"/>
      <c r="C958" s="48"/>
      <c r="D958" s="48"/>
      <c r="E958" s="48"/>
      <c r="F958" s="49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8.75" customHeight="1" x14ac:dyDescent="0.45">
      <c r="A959" s="48"/>
      <c r="B959" s="48"/>
      <c r="C959" s="48"/>
      <c r="D959" s="48"/>
      <c r="E959" s="48"/>
      <c r="F959" s="49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8.75" customHeight="1" x14ac:dyDescent="0.45">
      <c r="A960" s="48"/>
      <c r="B960" s="48"/>
      <c r="C960" s="48"/>
      <c r="D960" s="48"/>
      <c r="E960" s="48"/>
      <c r="F960" s="49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8.75" customHeight="1" x14ac:dyDescent="0.45">
      <c r="A961" s="48"/>
      <c r="B961" s="48"/>
      <c r="C961" s="48"/>
      <c r="D961" s="48"/>
      <c r="E961" s="48"/>
      <c r="F961" s="49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8.75" customHeight="1" x14ac:dyDescent="0.45">
      <c r="A962" s="48"/>
      <c r="B962" s="48"/>
      <c r="C962" s="48"/>
      <c r="D962" s="48"/>
      <c r="E962" s="48"/>
      <c r="F962" s="49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8.75" customHeight="1" x14ac:dyDescent="0.45">
      <c r="A963" s="48"/>
      <c r="B963" s="48"/>
      <c r="C963" s="48"/>
      <c r="D963" s="48"/>
      <c r="E963" s="48"/>
      <c r="F963" s="49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8.75" customHeight="1" x14ac:dyDescent="0.45">
      <c r="A964" s="48"/>
      <c r="B964" s="48"/>
      <c r="C964" s="48"/>
      <c r="D964" s="48"/>
      <c r="E964" s="48"/>
      <c r="F964" s="49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8.75" customHeight="1" x14ac:dyDescent="0.45">
      <c r="A965" s="48"/>
      <c r="B965" s="48"/>
      <c r="C965" s="48"/>
      <c r="D965" s="48"/>
      <c r="E965" s="48"/>
      <c r="F965" s="49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8.75" customHeight="1" x14ac:dyDescent="0.45">
      <c r="A966" s="48"/>
      <c r="B966" s="48"/>
      <c r="C966" s="48"/>
      <c r="D966" s="48"/>
      <c r="E966" s="48"/>
      <c r="F966" s="49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8.75" customHeight="1" x14ac:dyDescent="0.45">
      <c r="A967" s="48"/>
      <c r="B967" s="48"/>
      <c r="C967" s="48"/>
      <c r="D967" s="48"/>
      <c r="E967" s="48"/>
      <c r="F967" s="49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8.75" customHeight="1" x14ac:dyDescent="0.45">
      <c r="A968" s="48"/>
      <c r="B968" s="48"/>
      <c r="C968" s="48"/>
      <c r="D968" s="48"/>
      <c r="E968" s="48"/>
      <c r="F968" s="49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8.75" customHeight="1" x14ac:dyDescent="0.45">
      <c r="A969" s="48"/>
      <c r="B969" s="48"/>
      <c r="C969" s="48"/>
      <c r="D969" s="48"/>
      <c r="E969" s="48"/>
      <c r="F969" s="49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8.75" customHeight="1" x14ac:dyDescent="0.45">
      <c r="A970" s="48"/>
      <c r="B970" s="48"/>
      <c r="C970" s="48"/>
      <c r="D970" s="48"/>
      <c r="E970" s="48"/>
      <c r="F970" s="49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8.75" customHeight="1" x14ac:dyDescent="0.45">
      <c r="A971" s="48"/>
      <c r="B971" s="48"/>
      <c r="C971" s="48"/>
      <c r="D971" s="48"/>
      <c r="E971" s="48"/>
      <c r="F971" s="49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8.75" customHeight="1" x14ac:dyDescent="0.45">
      <c r="A972" s="48"/>
      <c r="B972" s="48"/>
      <c r="C972" s="48"/>
      <c r="D972" s="48"/>
      <c r="E972" s="48"/>
      <c r="F972" s="49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8.75" customHeight="1" x14ac:dyDescent="0.45">
      <c r="A973" s="48"/>
      <c r="B973" s="48"/>
      <c r="C973" s="48"/>
      <c r="D973" s="48"/>
      <c r="E973" s="48"/>
      <c r="F973" s="49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8.75" customHeight="1" x14ac:dyDescent="0.45">
      <c r="A974" s="48"/>
      <c r="B974" s="48"/>
      <c r="C974" s="48"/>
      <c r="D974" s="48"/>
      <c r="E974" s="48"/>
      <c r="F974" s="49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8.75" customHeight="1" x14ac:dyDescent="0.45">
      <c r="A975" s="48"/>
      <c r="B975" s="48"/>
      <c r="C975" s="48"/>
      <c r="D975" s="48"/>
      <c r="E975" s="48"/>
      <c r="F975" s="49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8.75" customHeight="1" x14ac:dyDescent="0.45">
      <c r="A976" s="48"/>
      <c r="B976" s="48"/>
      <c r="C976" s="48"/>
      <c r="D976" s="48"/>
      <c r="E976" s="48"/>
      <c r="F976" s="49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8.75" customHeight="1" x14ac:dyDescent="0.45">
      <c r="A977" s="48"/>
      <c r="B977" s="48"/>
      <c r="C977" s="48"/>
      <c r="D977" s="48"/>
      <c r="E977" s="48"/>
      <c r="F977" s="49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8.75" customHeight="1" x14ac:dyDescent="0.45">
      <c r="A978" s="48"/>
      <c r="B978" s="48"/>
      <c r="C978" s="48"/>
      <c r="D978" s="48"/>
      <c r="E978" s="48"/>
      <c r="F978" s="49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8.75" customHeight="1" x14ac:dyDescent="0.45">
      <c r="A979" s="48"/>
      <c r="B979" s="48"/>
      <c r="C979" s="48"/>
      <c r="D979" s="48"/>
      <c r="E979" s="48"/>
      <c r="F979" s="49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8.75" customHeight="1" x14ac:dyDescent="0.45">
      <c r="A980" s="48"/>
      <c r="B980" s="48"/>
      <c r="C980" s="48"/>
      <c r="D980" s="48"/>
      <c r="E980" s="48"/>
      <c r="F980" s="49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8.75" customHeight="1" x14ac:dyDescent="0.45">
      <c r="A981" s="48"/>
      <c r="B981" s="48"/>
      <c r="C981" s="48"/>
      <c r="D981" s="48"/>
      <c r="E981" s="48"/>
      <c r="F981" s="49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8.75" customHeight="1" x14ac:dyDescent="0.45">
      <c r="A982" s="48"/>
      <c r="B982" s="48"/>
      <c r="C982" s="48"/>
      <c r="D982" s="48"/>
      <c r="E982" s="48"/>
      <c r="F982" s="49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8.75" customHeight="1" x14ac:dyDescent="0.45">
      <c r="A983" s="48"/>
      <c r="B983" s="48"/>
      <c r="C983" s="48"/>
      <c r="D983" s="48"/>
      <c r="E983" s="48"/>
      <c r="F983" s="49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8.75" customHeight="1" x14ac:dyDescent="0.45">
      <c r="A984" s="48"/>
      <c r="B984" s="48"/>
      <c r="C984" s="48"/>
      <c r="D984" s="48"/>
      <c r="E984" s="48"/>
      <c r="F984" s="49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8.75" customHeight="1" x14ac:dyDescent="0.45">
      <c r="A985" s="48"/>
      <c r="B985" s="48"/>
      <c r="C985" s="48"/>
      <c r="D985" s="48"/>
      <c r="E985" s="48"/>
      <c r="F985" s="49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8.75" customHeight="1" x14ac:dyDescent="0.45">
      <c r="A986" s="48"/>
      <c r="B986" s="48"/>
      <c r="C986" s="48"/>
      <c r="D986" s="48"/>
      <c r="E986" s="48"/>
      <c r="F986" s="49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8.75" customHeight="1" x14ac:dyDescent="0.45">
      <c r="A987" s="48"/>
      <c r="B987" s="48"/>
      <c r="C987" s="48"/>
      <c r="D987" s="48"/>
      <c r="E987" s="48"/>
      <c r="F987" s="49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8.75" customHeight="1" x14ac:dyDescent="0.45">
      <c r="A988" s="48"/>
      <c r="B988" s="48"/>
      <c r="C988" s="48"/>
      <c r="D988" s="48"/>
      <c r="E988" s="48"/>
      <c r="F988" s="49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8.75" customHeight="1" x14ac:dyDescent="0.45">
      <c r="A989" s="48"/>
      <c r="B989" s="48"/>
      <c r="C989" s="48"/>
      <c r="D989" s="48"/>
      <c r="E989" s="48"/>
      <c r="F989" s="49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8.75" customHeight="1" x14ac:dyDescent="0.45">
      <c r="A990" s="48"/>
      <c r="B990" s="48"/>
      <c r="C990" s="48"/>
      <c r="D990" s="48"/>
      <c r="E990" s="48"/>
      <c r="F990" s="49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8.75" customHeight="1" x14ac:dyDescent="0.45">
      <c r="A991" s="48"/>
      <c r="B991" s="48"/>
      <c r="C991" s="48"/>
      <c r="D991" s="48"/>
      <c r="E991" s="48"/>
      <c r="F991" s="49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8.75" customHeight="1" x14ac:dyDescent="0.45">
      <c r="A992" s="48"/>
      <c r="B992" s="48"/>
      <c r="C992" s="48"/>
      <c r="D992" s="48"/>
      <c r="E992" s="48"/>
      <c r="F992" s="49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8.75" customHeight="1" x14ac:dyDescent="0.45">
      <c r="A993" s="48"/>
      <c r="B993" s="48"/>
      <c r="C993" s="48"/>
      <c r="D993" s="48"/>
      <c r="E993" s="48"/>
      <c r="F993" s="49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8.75" customHeight="1" x14ac:dyDescent="0.45">
      <c r="A994" s="48"/>
      <c r="B994" s="48"/>
      <c r="C994" s="48"/>
      <c r="D994" s="48"/>
      <c r="E994" s="48"/>
      <c r="F994" s="49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8.75" customHeight="1" x14ac:dyDescent="0.45">
      <c r="A995" s="48"/>
      <c r="B995" s="48"/>
      <c r="C995" s="48"/>
      <c r="D995" s="48"/>
      <c r="E995" s="48"/>
      <c r="F995" s="49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8.75" customHeight="1" x14ac:dyDescent="0.45">
      <c r="A996" s="48"/>
      <c r="B996" s="48"/>
      <c r="C996" s="48"/>
      <c r="D996" s="48"/>
      <c r="E996" s="48"/>
      <c r="F996" s="49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8.75" customHeight="1" x14ac:dyDescent="0.45">
      <c r="A997" s="48"/>
      <c r="B997" s="48"/>
      <c r="C997" s="48"/>
      <c r="D997" s="48"/>
      <c r="E997" s="48"/>
      <c r="F997" s="49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8.75" customHeight="1" x14ac:dyDescent="0.45">
      <c r="A998" s="48"/>
      <c r="B998" s="48"/>
      <c r="C998" s="48"/>
      <c r="D998" s="48"/>
      <c r="E998" s="48"/>
      <c r="F998" s="49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8.75" customHeight="1" x14ac:dyDescent="0.45">
      <c r="A999" s="48"/>
      <c r="B999" s="48"/>
      <c r="C999" s="48"/>
      <c r="D999" s="48"/>
      <c r="E999" s="48"/>
      <c r="F999" s="49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8.75" customHeight="1" x14ac:dyDescent="0.45">
      <c r="A1000" s="48"/>
      <c r="B1000" s="48"/>
      <c r="C1000" s="48"/>
      <c r="D1000" s="48"/>
      <c r="E1000" s="48"/>
      <c r="F1000" s="49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16.42578125" customWidth="1"/>
    <col min="2" max="2" width="70.28515625" customWidth="1"/>
    <col min="3" max="3" width="20.28515625" customWidth="1"/>
    <col min="4" max="4" width="10.5703125" customWidth="1"/>
    <col min="5" max="5" width="9.85546875" customWidth="1"/>
    <col min="6" max="6" width="9" customWidth="1"/>
    <col min="7" max="20" width="9.5703125" customWidth="1"/>
    <col min="21" max="26" width="12.5703125" customWidth="1"/>
  </cols>
  <sheetData>
    <row r="1" spans="1:26" ht="23.25" x14ac:dyDescent="0.2">
      <c r="A1" s="53" t="s">
        <v>178</v>
      </c>
      <c r="B1" s="54" t="s">
        <v>179</v>
      </c>
      <c r="C1" s="53" t="s">
        <v>180</v>
      </c>
      <c r="D1" s="53" t="s">
        <v>181</v>
      </c>
      <c r="E1" s="55" t="s">
        <v>182</v>
      </c>
      <c r="F1" s="55" t="s">
        <v>182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23.25" x14ac:dyDescent="0.2">
      <c r="A2" s="52" t="s">
        <v>183</v>
      </c>
      <c r="B2" s="52" t="s">
        <v>184</v>
      </c>
      <c r="C2" s="52"/>
      <c r="D2" s="57" t="s">
        <v>151</v>
      </c>
      <c r="E2" s="50"/>
      <c r="F2" s="49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23.25" customHeight="1" x14ac:dyDescent="0.2">
      <c r="A3" s="52"/>
      <c r="B3" s="52" t="s">
        <v>185</v>
      </c>
      <c r="C3" s="52" t="s">
        <v>158</v>
      </c>
      <c r="D3" s="52" t="s">
        <v>161</v>
      </c>
      <c r="E3" s="49">
        <v>4000</v>
      </c>
      <c r="F3" s="49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23.25" customHeight="1" x14ac:dyDescent="0.2">
      <c r="A4" s="52"/>
      <c r="B4" s="52" t="s">
        <v>186</v>
      </c>
      <c r="C4" s="58" t="s">
        <v>158</v>
      </c>
      <c r="D4" s="57" t="s">
        <v>108</v>
      </c>
      <c r="E4" s="50">
        <v>9500</v>
      </c>
      <c r="F4" s="49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23.25" customHeight="1" x14ac:dyDescent="0.2">
      <c r="A5" s="52"/>
      <c r="B5" s="52" t="s">
        <v>187</v>
      </c>
      <c r="C5" s="58" t="s">
        <v>132</v>
      </c>
      <c r="D5" s="59" t="s">
        <v>98</v>
      </c>
      <c r="E5" s="50">
        <v>1200</v>
      </c>
      <c r="F5" s="49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23.25" customHeight="1" x14ac:dyDescent="0.2">
      <c r="A6" s="52"/>
      <c r="B6" s="52" t="s">
        <v>188</v>
      </c>
      <c r="C6" s="52" t="s">
        <v>167</v>
      </c>
      <c r="D6" s="57" t="s">
        <v>108</v>
      </c>
      <c r="E6" s="49">
        <v>600</v>
      </c>
      <c r="F6" s="49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56"/>
      <c r="V6" s="56"/>
      <c r="W6" s="56"/>
      <c r="X6" s="56"/>
      <c r="Y6" s="56"/>
      <c r="Z6" s="56"/>
    </row>
    <row r="7" spans="1:26" ht="23.25" customHeight="1" x14ac:dyDescent="0.2">
      <c r="A7" s="52"/>
      <c r="B7" s="52" t="s">
        <v>189</v>
      </c>
      <c r="C7" s="52"/>
      <c r="D7" s="57" t="s">
        <v>108</v>
      </c>
      <c r="E7" s="50"/>
      <c r="F7" s="49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56"/>
      <c r="V7" s="56"/>
      <c r="W7" s="56"/>
      <c r="X7" s="56"/>
      <c r="Y7" s="56"/>
      <c r="Z7" s="56"/>
    </row>
    <row r="8" spans="1:26" ht="23.25" customHeight="1" x14ac:dyDescent="0.2">
      <c r="A8" s="52"/>
      <c r="B8" s="52" t="s">
        <v>190</v>
      </c>
      <c r="C8" s="52" t="s">
        <v>158</v>
      </c>
      <c r="D8" s="57" t="s">
        <v>108</v>
      </c>
      <c r="E8" s="50">
        <v>2100</v>
      </c>
      <c r="F8" s="49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56"/>
      <c r="V8" s="56"/>
      <c r="W8" s="56"/>
      <c r="X8" s="56"/>
      <c r="Y8" s="56"/>
      <c r="Z8" s="56"/>
    </row>
    <row r="9" spans="1:26" ht="23.25" customHeight="1" x14ac:dyDescent="0.2">
      <c r="A9" s="52"/>
      <c r="B9" s="52" t="s">
        <v>191</v>
      </c>
      <c r="C9" s="52" t="s">
        <v>158</v>
      </c>
      <c r="D9" s="57" t="s">
        <v>157</v>
      </c>
      <c r="E9" s="49">
        <v>14000</v>
      </c>
      <c r="F9" s="49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56"/>
      <c r="V9" s="56"/>
      <c r="W9" s="56"/>
      <c r="X9" s="56"/>
      <c r="Y9" s="56"/>
      <c r="Z9" s="56"/>
    </row>
    <row r="10" spans="1:26" ht="23.25" customHeight="1" x14ac:dyDescent="0.2">
      <c r="A10" s="52"/>
      <c r="B10" s="52" t="s">
        <v>192</v>
      </c>
      <c r="C10" s="58" t="s">
        <v>148</v>
      </c>
      <c r="D10" s="57" t="s">
        <v>108</v>
      </c>
      <c r="E10" s="49">
        <v>1450</v>
      </c>
      <c r="F10" s="5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56"/>
      <c r="V10" s="56"/>
      <c r="W10" s="56"/>
      <c r="X10" s="56"/>
      <c r="Y10" s="56"/>
      <c r="Z10" s="56"/>
    </row>
    <row r="11" spans="1:26" ht="23.25" customHeight="1" x14ac:dyDescent="0.2">
      <c r="A11" s="52"/>
      <c r="B11" s="52" t="s">
        <v>193</v>
      </c>
      <c r="C11" s="52" t="s">
        <v>169</v>
      </c>
      <c r="D11" s="57" t="s">
        <v>147</v>
      </c>
      <c r="E11" s="49">
        <v>185000</v>
      </c>
      <c r="F11" s="5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56"/>
      <c r="V11" s="56"/>
      <c r="W11" s="56"/>
      <c r="X11" s="56"/>
      <c r="Y11" s="56"/>
      <c r="Z11" s="56"/>
    </row>
    <row r="12" spans="1:26" ht="23.25" customHeight="1" x14ac:dyDescent="0.2">
      <c r="A12" s="52"/>
      <c r="B12" s="52" t="s">
        <v>194</v>
      </c>
      <c r="C12" s="52" t="s">
        <v>150</v>
      </c>
      <c r="D12" s="59" t="s">
        <v>137</v>
      </c>
      <c r="E12" s="50">
        <v>1850</v>
      </c>
      <c r="F12" s="5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56"/>
      <c r="V12" s="56"/>
      <c r="W12" s="56"/>
      <c r="X12" s="56"/>
      <c r="Y12" s="56"/>
      <c r="Z12" s="56"/>
    </row>
    <row r="13" spans="1:26" ht="23.25" customHeight="1" x14ac:dyDescent="0.2">
      <c r="A13" s="52"/>
      <c r="B13" s="52" t="s">
        <v>195</v>
      </c>
      <c r="C13" s="52" t="s">
        <v>160</v>
      </c>
      <c r="D13" s="57" t="s">
        <v>108</v>
      </c>
      <c r="E13" s="50">
        <v>500</v>
      </c>
      <c r="F13" s="5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56"/>
      <c r="V13" s="56"/>
      <c r="W13" s="56"/>
      <c r="X13" s="56"/>
      <c r="Y13" s="56"/>
      <c r="Z13" s="56"/>
    </row>
    <row r="14" spans="1:26" ht="23.25" customHeight="1" x14ac:dyDescent="0.2">
      <c r="A14" s="52"/>
      <c r="B14" s="52" t="s">
        <v>195</v>
      </c>
      <c r="C14" s="52" t="s">
        <v>173</v>
      </c>
      <c r="D14" s="57" t="s">
        <v>108</v>
      </c>
      <c r="E14" s="50">
        <v>1400</v>
      </c>
      <c r="F14" s="50"/>
      <c r="G14" s="56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56"/>
      <c r="V14" s="56"/>
      <c r="W14" s="56"/>
      <c r="X14" s="56"/>
      <c r="Y14" s="56"/>
      <c r="Z14" s="56"/>
    </row>
    <row r="15" spans="1:26" ht="23.25" customHeight="1" x14ac:dyDescent="0.2">
      <c r="A15" s="52"/>
      <c r="B15" s="52" t="s">
        <v>196</v>
      </c>
      <c r="C15" s="52" t="s">
        <v>132</v>
      </c>
      <c r="D15" s="52" t="s">
        <v>108</v>
      </c>
      <c r="E15" s="49">
        <v>3500</v>
      </c>
      <c r="F15" s="49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56"/>
      <c r="V15" s="56"/>
      <c r="W15" s="56"/>
      <c r="X15" s="56"/>
      <c r="Y15" s="56"/>
      <c r="Z15" s="56"/>
    </row>
    <row r="16" spans="1:26" ht="23.25" customHeight="1" x14ac:dyDescent="0.2">
      <c r="A16" s="52"/>
      <c r="B16" s="52" t="s">
        <v>196</v>
      </c>
      <c r="C16" s="52" t="s">
        <v>132</v>
      </c>
      <c r="D16" s="52" t="s">
        <v>108</v>
      </c>
      <c r="E16" s="49">
        <v>3500</v>
      </c>
      <c r="F16" s="49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56"/>
      <c r="V16" s="56"/>
      <c r="W16" s="56"/>
      <c r="X16" s="56"/>
      <c r="Y16" s="56"/>
      <c r="Z16" s="56"/>
    </row>
    <row r="17" spans="1:26" ht="23.25" customHeight="1" x14ac:dyDescent="0.2">
      <c r="A17" s="52"/>
      <c r="B17" s="52" t="s">
        <v>197</v>
      </c>
      <c r="C17" s="58" t="s">
        <v>171</v>
      </c>
      <c r="D17" s="57" t="s">
        <v>108</v>
      </c>
      <c r="E17" s="50">
        <v>3200</v>
      </c>
      <c r="F17" s="5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56"/>
      <c r="V17" s="56"/>
      <c r="W17" s="56"/>
      <c r="X17" s="56"/>
      <c r="Y17" s="56"/>
      <c r="Z17" s="56"/>
    </row>
    <row r="18" spans="1:26" ht="23.25" customHeight="1" x14ac:dyDescent="0.2">
      <c r="A18" s="52"/>
      <c r="B18" s="52" t="s">
        <v>198</v>
      </c>
      <c r="C18" s="52" t="s">
        <v>158</v>
      </c>
      <c r="D18" s="57" t="s">
        <v>129</v>
      </c>
      <c r="E18" s="49">
        <v>2700</v>
      </c>
      <c r="F18" s="5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56"/>
      <c r="V18" s="56"/>
      <c r="W18" s="56"/>
      <c r="X18" s="56"/>
      <c r="Y18" s="56"/>
      <c r="Z18" s="56"/>
    </row>
    <row r="19" spans="1:26" ht="23.25" customHeight="1" x14ac:dyDescent="0.2">
      <c r="A19" s="52" t="s">
        <v>199</v>
      </c>
      <c r="B19" s="52" t="s">
        <v>200</v>
      </c>
      <c r="C19" s="58" t="s">
        <v>158</v>
      </c>
      <c r="D19" s="57" t="s">
        <v>108</v>
      </c>
      <c r="E19" s="50">
        <v>8500</v>
      </c>
      <c r="F19" s="5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56"/>
      <c r="V19" s="56"/>
      <c r="W19" s="56"/>
      <c r="X19" s="56"/>
      <c r="Y19" s="56"/>
      <c r="Z19" s="56"/>
    </row>
    <row r="20" spans="1:26" ht="23.25" customHeight="1" x14ac:dyDescent="0.2">
      <c r="A20" s="52"/>
      <c r="B20" s="52" t="s">
        <v>201</v>
      </c>
      <c r="C20" s="58" t="s">
        <v>158</v>
      </c>
      <c r="D20" s="57" t="s">
        <v>157</v>
      </c>
      <c r="E20" s="49">
        <v>1200</v>
      </c>
      <c r="F20" s="5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56"/>
      <c r="V20" s="56"/>
      <c r="W20" s="56"/>
      <c r="X20" s="56"/>
      <c r="Y20" s="56"/>
      <c r="Z20" s="56"/>
    </row>
    <row r="21" spans="1:26" ht="23.25" customHeight="1" x14ac:dyDescent="0.2">
      <c r="A21" s="52"/>
      <c r="B21" s="52" t="s">
        <v>202</v>
      </c>
      <c r="C21" s="50" t="s">
        <v>176</v>
      </c>
      <c r="D21" s="57" t="s">
        <v>159</v>
      </c>
      <c r="E21" s="49">
        <v>1675</v>
      </c>
      <c r="F21" s="52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56"/>
      <c r="V21" s="56"/>
      <c r="W21" s="56"/>
      <c r="X21" s="56"/>
      <c r="Y21" s="56"/>
      <c r="Z21" s="56"/>
    </row>
    <row r="22" spans="1:26" ht="23.25" customHeight="1" x14ac:dyDescent="0.2">
      <c r="A22" s="52"/>
      <c r="B22" s="52" t="s">
        <v>203</v>
      </c>
      <c r="C22" s="52" t="s">
        <v>93</v>
      </c>
      <c r="D22" s="57" t="s">
        <v>159</v>
      </c>
      <c r="E22" s="49">
        <v>2500</v>
      </c>
      <c r="F22" s="5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56"/>
      <c r="V22" s="56"/>
      <c r="W22" s="56"/>
      <c r="X22" s="56"/>
      <c r="Y22" s="56"/>
      <c r="Z22" s="56"/>
    </row>
    <row r="23" spans="1:26" ht="23.25" customHeight="1" x14ac:dyDescent="0.2">
      <c r="A23" s="52"/>
      <c r="B23" s="52" t="s">
        <v>204</v>
      </c>
      <c r="C23" s="58" t="s">
        <v>158</v>
      </c>
      <c r="D23" s="57" t="s">
        <v>157</v>
      </c>
      <c r="E23" s="49"/>
      <c r="F23" s="5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56"/>
      <c r="V23" s="56"/>
      <c r="W23" s="56"/>
      <c r="X23" s="56"/>
      <c r="Y23" s="56"/>
      <c r="Z23" s="56"/>
    </row>
    <row r="24" spans="1:26" ht="23.25" customHeight="1" x14ac:dyDescent="0.2">
      <c r="A24" s="52"/>
      <c r="B24" s="52" t="s">
        <v>205</v>
      </c>
      <c r="C24" s="58" t="s">
        <v>158</v>
      </c>
      <c r="D24" s="59" t="s">
        <v>131</v>
      </c>
      <c r="E24" s="50">
        <v>2300</v>
      </c>
      <c r="F24" s="50"/>
      <c r="G24" s="60"/>
      <c r="H24" s="60"/>
      <c r="I24" s="60"/>
      <c r="J24" s="61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56"/>
      <c r="V24" s="56"/>
      <c r="W24" s="56"/>
      <c r="X24" s="56"/>
      <c r="Y24" s="56"/>
      <c r="Z24" s="56"/>
    </row>
    <row r="25" spans="1:26" ht="23.25" customHeight="1" x14ac:dyDescent="0.2">
      <c r="A25" s="52"/>
      <c r="B25" s="52" t="s">
        <v>206</v>
      </c>
      <c r="C25" s="58" t="s">
        <v>148</v>
      </c>
      <c r="D25" s="57" t="s">
        <v>108</v>
      </c>
      <c r="E25" s="49"/>
      <c r="F25" s="50"/>
      <c r="G25" s="60"/>
      <c r="H25" s="60"/>
      <c r="I25" s="60"/>
      <c r="J25" s="61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56"/>
      <c r="V25" s="56"/>
      <c r="W25" s="56"/>
      <c r="X25" s="56"/>
      <c r="Y25" s="56"/>
      <c r="Z25" s="56"/>
    </row>
    <row r="26" spans="1:26" ht="23.25" customHeight="1" x14ac:dyDescent="0.2">
      <c r="A26" s="58"/>
      <c r="B26" s="52" t="s">
        <v>206</v>
      </c>
      <c r="C26" s="58" t="s">
        <v>158</v>
      </c>
      <c r="D26" s="57" t="s">
        <v>108</v>
      </c>
      <c r="E26" s="50">
        <v>1800</v>
      </c>
      <c r="F26" s="5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56"/>
      <c r="V26" s="56"/>
      <c r="W26" s="56"/>
      <c r="X26" s="56"/>
      <c r="Y26" s="56"/>
      <c r="Z26" s="56"/>
    </row>
    <row r="27" spans="1:26" ht="23.25" customHeight="1" x14ac:dyDescent="0.2">
      <c r="A27" s="52"/>
      <c r="B27" s="52" t="s">
        <v>207</v>
      </c>
      <c r="C27" s="52" t="s">
        <v>87</v>
      </c>
      <c r="D27" s="57" t="s">
        <v>108</v>
      </c>
      <c r="E27" s="49">
        <v>260</v>
      </c>
      <c r="F27" s="5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56"/>
      <c r="V27" s="56"/>
      <c r="W27" s="56"/>
      <c r="X27" s="56"/>
      <c r="Y27" s="56"/>
      <c r="Z27" s="56"/>
    </row>
    <row r="28" spans="1:26" ht="23.25" customHeight="1" x14ac:dyDescent="0.2">
      <c r="A28" s="52"/>
      <c r="B28" s="52" t="s">
        <v>208</v>
      </c>
      <c r="C28" s="52" t="s">
        <v>122</v>
      </c>
      <c r="D28" s="57" t="s">
        <v>108</v>
      </c>
      <c r="E28" s="49">
        <v>300</v>
      </c>
      <c r="F28" s="5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56"/>
      <c r="V28" s="56"/>
      <c r="W28" s="56"/>
      <c r="X28" s="56"/>
      <c r="Y28" s="56"/>
      <c r="Z28" s="56"/>
    </row>
    <row r="29" spans="1:26" ht="23.25" customHeight="1" x14ac:dyDescent="0.2">
      <c r="A29" s="58"/>
      <c r="B29" s="58" t="s">
        <v>209</v>
      </c>
      <c r="C29" s="58" t="s">
        <v>148</v>
      </c>
      <c r="D29" s="57" t="s">
        <v>108</v>
      </c>
      <c r="E29" s="50">
        <v>1500</v>
      </c>
      <c r="F29" s="5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56"/>
      <c r="V29" s="56"/>
      <c r="W29" s="56"/>
      <c r="X29" s="56"/>
      <c r="Y29" s="56"/>
      <c r="Z29" s="56"/>
    </row>
    <row r="30" spans="1:26" ht="23.25" customHeight="1" x14ac:dyDescent="0.2">
      <c r="A30" s="52"/>
      <c r="B30" s="52" t="s">
        <v>210</v>
      </c>
      <c r="C30" s="52" t="s">
        <v>148</v>
      </c>
      <c r="D30" s="57" t="s">
        <v>108</v>
      </c>
      <c r="E30" s="49">
        <v>1500</v>
      </c>
      <c r="F30" s="49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56"/>
      <c r="V30" s="56"/>
      <c r="W30" s="56"/>
      <c r="X30" s="56"/>
      <c r="Y30" s="56"/>
      <c r="Z30" s="56"/>
    </row>
    <row r="31" spans="1:26" ht="23.25" customHeight="1" x14ac:dyDescent="0.2">
      <c r="A31" s="52" t="s">
        <v>211</v>
      </c>
      <c r="B31" s="52" t="s">
        <v>212</v>
      </c>
      <c r="C31" s="58" t="s">
        <v>158</v>
      </c>
      <c r="D31" s="57" t="s">
        <v>151</v>
      </c>
      <c r="E31" s="49">
        <v>13000</v>
      </c>
      <c r="F31" s="5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56"/>
      <c r="V31" s="56"/>
      <c r="W31" s="56"/>
      <c r="X31" s="56"/>
      <c r="Y31" s="56"/>
      <c r="Z31" s="56"/>
    </row>
    <row r="32" spans="1:26" ht="23.25" customHeight="1" x14ac:dyDescent="0.2">
      <c r="A32" s="52"/>
      <c r="B32" s="52" t="s">
        <v>213</v>
      </c>
      <c r="C32" s="52" t="s">
        <v>158</v>
      </c>
      <c r="D32" s="57" t="s">
        <v>151</v>
      </c>
      <c r="E32" s="49">
        <v>28000</v>
      </c>
      <c r="F32" s="5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56"/>
      <c r="V32" s="56"/>
      <c r="W32" s="56"/>
      <c r="X32" s="56"/>
      <c r="Y32" s="56"/>
      <c r="Z32" s="56"/>
    </row>
    <row r="33" spans="1:26" ht="23.25" customHeight="1" x14ac:dyDescent="0.2">
      <c r="A33" s="52" t="s">
        <v>214</v>
      </c>
      <c r="B33" s="52" t="s">
        <v>215</v>
      </c>
      <c r="C33" s="52" t="s">
        <v>158</v>
      </c>
      <c r="D33" s="57" t="s">
        <v>157</v>
      </c>
      <c r="E33" s="49">
        <v>6800</v>
      </c>
      <c r="F33" s="5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56"/>
      <c r="V33" s="56"/>
      <c r="W33" s="56"/>
      <c r="X33" s="56"/>
      <c r="Y33" s="56"/>
      <c r="Z33" s="56"/>
    </row>
    <row r="34" spans="1:26" ht="23.25" customHeight="1" x14ac:dyDescent="0.2">
      <c r="A34" s="52"/>
      <c r="B34" s="52" t="s">
        <v>216</v>
      </c>
      <c r="C34" s="52" t="s">
        <v>148</v>
      </c>
      <c r="D34" s="57" t="s">
        <v>108</v>
      </c>
      <c r="E34" s="49">
        <v>1700</v>
      </c>
      <c r="F34" s="49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56"/>
      <c r="V34" s="56"/>
      <c r="W34" s="56"/>
      <c r="X34" s="56"/>
      <c r="Y34" s="56"/>
      <c r="Z34" s="56"/>
    </row>
    <row r="35" spans="1:26" ht="23.25" customHeight="1" x14ac:dyDescent="0.2">
      <c r="A35" s="52"/>
      <c r="B35" s="52" t="s">
        <v>217</v>
      </c>
      <c r="C35" s="52" t="s">
        <v>144</v>
      </c>
      <c r="D35" s="57" t="s">
        <v>153</v>
      </c>
      <c r="E35" s="49">
        <v>2000</v>
      </c>
      <c r="F35" s="49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56"/>
      <c r="V35" s="56"/>
      <c r="W35" s="56"/>
      <c r="X35" s="56"/>
      <c r="Y35" s="56"/>
      <c r="Z35" s="56"/>
    </row>
    <row r="36" spans="1:26" ht="23.25" customHeight="1" x14ac:dyDescent="0.2">
      <c r="A36" s="52"/>
      <c r="B36" s="52" t="s">
        <v>218</v>
      </c>
      <c r="C36" s="58" t="s">
        <v>158</v>
      </c>
      <c r="D36" s="57" t="s">
        <v>108</v>
      </c>
      <c r="E36" s="50">
        <v>2000</v>
      </c>
      <c r="F36" s="5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56"/>
      <c r="V36" s="56"/>
      <c r="W36" s="56"/>
      <c r="X36" s="56"/>
      <c r="Y36" s="56"/>
      <c r="Z36" s="56"/>
    </row>
    <row r="37" spans="1:26" ht="23.25" customHeight="1" x14ac:dyDescent="0.2">
      <c r="A37" s="52" t="s">
        <v>219</v>
      </c>
      <c r="B37" s="52" t="s">
        <v>220</v>
      </c>
      <c r="C37" s="52" t="s">
        <v>162</v>
      </c>
      <c r="D37" s="57" t="s">
        <v>133</v>
      </c>
      <c r="E37" s="50">
        <v>13500</v>
      </c>
      <c r="F37" s="50">
        <v>15000</v>
      </c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56"/>
      <c r="V37" s="56"/>
      <c r="W37" s="56"/>
      <c r="X37" s="56"/>
      <c r="Y37" s="56"/>
      <c r="Z37" s="56"/>
    </row>
    <row r="38" spans="1:26" ht="23.25" customHeight="1" x14ac:dyDescent="0.2">
      <c r="A38" s="58" t="s">
        <v>221</v>
      </c>
      <c r="B38" s="58" t="s">
        <v>222</v>
      </c>
      <c r="C38" s="58" t="s">
        <v>158</v>
      </c>
      <c r="D38" s="57" t="s">
        <v>133</v>
      </c>
      <c r="E38" s="50">
        <v>18800</v>
      </c>
      <c r="F38" s="5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56"/>
      <c r="V38" s="56"/>
      <c r="W38" s="56"/>
      <c r="X38" s="56"/>
      <c r="Y38" s="56"/>
      <c r="Z38" s="56"/>
    </row>
    <row r="39" spans="1:26" ht="23.25" customHeight="1" x14ac:dyDescent="0.2">
      <c r="A39" s="52"/>
      <c r="B39" s="52" t="s">
        <v>223</v>
      </c>
      <c r="C39" s="52" t="s">
        <v>224</v>
      </c>
      <c r="D39" s="57" t="s">
        <v>108</v>
      </c>
      <c r="E39" s="49">
        <v>750</v>
      </c>
      <c r="F39" s="5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56"/>
      <c r="V39" s="56"/>
      <c r="W39" s="56"/>
      <c r="X39" s="56"/>
      <c r="Y39" s="56"/>
      <c r="Z39" s="56"/>
    </row>
    <row r="40" spans="1:26" ht="23.25" customHeight="1" x14ac:dyDescent="0.2">
      <c r="A40" s="52"/>
      <c r="B40" s="52" t="s">
        <v>223</v>
      </c>
      <c r="C40" s="52" t="s">
        <v>148</v>
      </c>
      <c r="D40" s="57" t="s">
        <v>129</v>
      </c>
      <c r="E40" s="49">
        <v>750</v>
      </c>
      <c r="F40" s="5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56"/>
      <c r="V40" s="56"/>
      <c r="W40" s="56"/>
      <c r="X40" s="56"/>
      <c r="Y40" s="56"/>
      <c r="Z40" s="56"/>
    </row>
    <row r="41" spans="1:26" ht="23.25" customHeight="1" x14ac:dyDescent="0.2">
      <c r="A41" s="52"/>
      <c r="B41" s="52" t="s">
        <v>225</v>
      </c>
      <c r="C41" s="52" t="s">
        <v>132</v>
      </c>
      <c r="D41" s="57" t="s">
        <v>151</v>
      </c>
      <c r="E41" s="49">
        <v>1200</v>
      </c>
      <c r="F41" s="5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56"/>
      <c r="V41" s="56"/>
      <c r="W41" s="56"/>
      <c r="X41" s="56"/>
      <c r="Y41" s="56"/>
      <c r="Z41" s="56"/>
    </row>
    <row r="42" spans="1:26" ht="23.25" customHeight="1" x14ac:dyDescent="0.2">
      <c r="A42" s="52"/>
      <c r="B42" s="52" t="s">
        <v>225</v>
      </c>
      <c r="C42" s="52" t="s">
        <v>132</v>
      </c>
      <c r="D42" s="57" t="s">
        <v>151</v>
      </c>
      <c r="E42" s="49">
        <v>2100</v>
      </c>
      <c r="F42" s="5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56"/>
      <c r="V42" s="56"/>
      <c r="W42" s="56"/>
      <c r="X42" s="56"/>
      <c r="Y42" s="56"/>
      <c r="Z42" s="56"/>
    </row>
    <row r="43" spans="1:26" ht="23.25" customHeight="1" x14ac:dyDescent="0.2">
      <c r="A43" s="52"/>
      <c r="B43" s="52" t="s">
        <v>226</v>
      </c>
      <c r="C43" s="58" t="s">
        <v>158</v>
      </c>
      <c r="D43" s="57" t="s">
        <v>108</v>
      </c>
      <c r="E43" s="50">
        <v>6000</v>
      </c>
      <c r="F43" s="5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56"/>
      <c r="V43" s="56"/>
      <c r="W43" s="56"/>
      <c r="X43" s="56"/>
      <c r="Y43" s="56"/>
      <c r="Z43" s="56"/>
    </row>
    <row r="44" spans="1:26" ht="23.25" customHeight="1" x14ac:dyDescent="0.2">
      <c r="A44" s="52"/>
      <c r="B44" s="52" t="s">
        <v>226</v>
      </c>
      <c r="C44" s="58" t="s">
        <v>158</v>
      </c>
      <c r="D44" s="59" t="s">
        <v>143</v>
      </c>
      <c r="E44" s="50">
        <v>6000</v>
      </c>
      <c r="F44" s="5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56"/>
      <c r="V44" s="56"/>
      <c r="W44" s="56"/>
      <c r="X44" s="56"/>
      <c r="Y44" s="56"/>
      <c r="Z44" s="56"/>
    </row>
    <row r="45" spans="1:26" ht="23.25" customHeight="1" x14ac:dyDescent="0.2">
      <c r="A45" s="52" t="s">
        <v>211</v>
      </c>
      <c r="B45" s="52" t="s">
        <v>227</v>
      </c>
      <c r="C45" s="58" t="s">
        <v>158</v>
      </c>
      <c r="D45" s="57" t="s">
        <v>151</v>
      </c>
      <c r="E45" s="49">
        <v>13000</v>
      </c>
      <c r="F45" s="5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56"/>
      <c r="V45" s="56"/>
      <c r="W45" s="56"/>
      <c r="X45" s="56"/>
      <c r="Y45" s="56"/>
      <c r="Z45" s="56"/>
    </row>
    <row r="46" spans="1:26" ht="23.25" customHeight="1" x14ac:dyDescent="0.2">
      <c r="A46" s="52" t="s">
        <v>211</v>
      </c>
      <c r="B46" s="52" t="s">
        <v>228</v>
      </c>
      <c r="C46" s="58" t="s">
        <v>158</v>
      </c>
      <c r="D46" s="57" t="s">
        <v>151</v>
      </c>
      <c r="E46" s="49">
        <v>13000</v>
      </c>
      <c r="F46" s="5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56"/>
      <c r="V46" s="56"/>
      <c r="W46" s="56"/>
      <c r="X46" s="56"/>
      <c r="Y46" s="56"/>
      <c r="Z46" s="56"/>
    </row>
    <row r="47" spans="1:26" ht="23.25" customHeight="1" x14ac:dyDescent="0.2">
      <c r="A47" s="52" t="s">
        <v>211</v>
      </c>
      <c r="B47" s="52" t="s">
        <v>229</v>
      </c>
      <c r="C47" s="58" t="s">
        <v>158</v>
      </c>
      <c r="D47" s="57" t="s">
        <v>151</v>
      </c>
      <c r="E47" s="49">
        <v>13000</v>
      </c>
      <c r="F47" s="5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56"/>
      <c r="V47" s="56"/>
      <c r="W47" s="56"/>
      <c r="X47" s="56"/>
      <c r="Y47" s="56"/>
      <c r="Z47" s="56"/>
    </row>
    <row r="48" spans="1:26" ht="23.25" customHeight="1" x14ac:dyDescent="0.2">
      <c r="A48" s="52" t="s">
        <v>230</v>
      </c>
      <c r="B48" s="52" t="s">
        <v>231</v>
      </c>
      <c r="C48" s="52" t="s">
        <v>154</v>
      </c>
      <c r="D48" s="57" t="s">
        <v>157</v>
      </c>
      <c r="E48" s="49">
        <v>68200</v>
      </c>
      <c r="F48" s="49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56"/>
      <c r="V48" s="56"/>
      <c r="W48" s="56"/>
      <c r="X48" s="56"/>
      <c r="Y48" s="56"/>
      <c r="Z48" s="56"/>
    </row>
    <row r="49" spans="1:26" ht="23.25" customHeight="1" x14ac:dyDescent="0.2">
      <c r="A49" s="52" t="s">
        <v>211</v>
      </c>
      <c r="B49" s="52" t="s">
        <v>232</v>
      </c>
      <c r="C49" s="58" t="s">
        <v>158</v>
      </c>
      <c r="D49" s="57" t="s">
        <v>151</v>
      </c>
      <c r="E49" s="49">
        <v>13000</v>
      </c>
      <c r="F49" s="5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56"/>
      <c r="V49" s="56"/>
      <c r="W49" s="56"/>
      <c r="X49" s="56"/>
      <c r="Y49" s="56"/>
      <c r="Z49" s="56"/>
    </row>
    <row r="50" spans="1:26" ht="23.25" customHeight="1" x14ac:dyDescent="0.2">
      <c r="A50" s="52" t="s">
        <v>211</v>
      </c>
      <c r="B50" s="52" t="s">
        <v>233</v>
      </c>
      <c r="C50" s="58" t="s">
        <v>158</v>
      </c>
      <c r="D50" s="57" t="s">
        <v>151</v>
      </c>
      <c r="E50" s="49">
        <v>13000</v>
      </c>
      <c r="F50" s="5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56"/>
      <c r="V50" s="56"/>
      <c r="W50" s="56"/>
      <c r="X50" s="56"/>
      <c r="Y50" s="56"/>
      <c r="Z50" s="56"/>
    </row>
    <row r="51" spans="1:26" ht="23.25" customHeight="1" x14ac:dyDescent="0.2">
      <c r="A51" s="52"/>
      <c r="B51" s="52" t="s">
        <v>233</v>
      </c>
      <c r="C51" s="52" t="s">
        <v>158</v>
      </c>
      <c r="D51" s="57" t="s">
        <v>151</v>
      </c>
      <c r="E51" s="49">
        <v>37000</v>
      </c>
      <c r="F51" s="5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56"/>
      <c r="V51" s="56"/>
      <c r="W51" s="56"/>
      <c r="X51" s="56"/>
      <c r="Y51" s="56"/>
      <c r="Z51" s="56"/>
    </row>
    <row r="52" spans="1:26" ht="23.25" customHeight="1" x14ac:dyDescent="0.2">
      <c r="A52" s="52"/>
      <c r="B52" s="52" t="s">
        <v>234</v>
      </c>
      <c r="C52" s="52" t="s">
        <v>158</v>
      </c>
      <c r="D52" s="57" t="s">
        <v>108</v>
      </c>
      <c r="E52" s="49">
        <v>6500</v>
      </c>
      <c r="F52" s="5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56"/>
      <c r="V52" s="56"/>
      <c r="W52" s="56"/>
      <c r="X52" s="56"/>
      <c r="Y52" s="56"/>
      <c r="Z52" s="56"/>
    </row>
    <row r="53" spans="1:26" ht="23.25" customHeight="1" x14ac:dyDescent="0.2">
      <c r="A53" s="52" t="s">
        <v>235</v>
      </c>
      <c r="B53" s="52" t="s">
        <v>234</v>
      </c>
      <c r="C53" s="52" t="s">
        <v>158</v>
      </c>
      <c r="D53" s="57" t="s">
        <v>133</v>
      </c>
      <c r="E53" s="49">
        <v>35000</v>
      </c>
      <c r="F53" s="5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56"/>
      <c r="V53" s="56"/>
      <c r="W53" s="56"/>
      <c r="X53" s="56"/>
      <c r="Y53" s="56"/>
      <c r="Z53" s="56"/>
    </row>
    <row r="54" spans="1:26" ht="23.25" customHeight="1" x14ac:dyDescent="0.2">
      <c r="A54" s="52"/>
      <c r="B54" s="52" t="s">
        <v>236</v>
      </c>
      <c r="C54" s="52" t="s">
        <v>158</v>
      </c>
      <c r="D54" s="57" t="s">
        <v>129</v>
      </c>
      <c r="E54" s="49">
        <v>29500</v>
      </c>
      <c r="F54" s="49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56"/>
      <c r="V54" s="56"/>
      <c r="W54" s="56"/>
      <c r="X54" s="56"/>
      <c r="Y54" s="56"/>
      <c r="Z54" s="56"/>
    </row>
    <row r="55" spans="1:26" ht="23.25" customHeight="1" x14ac:dyDescent="0.2">
      <c r="A55" s="52"/>
      <c r="B55" s="52" t="s">
        <v>237</v>
      </c>
      <c r="C55" s="52"/>
      <c r="D55" s="57" t="s">
        <v>133</v>
      </c>
      <c r="E55" s="50"/>
      <c r="F55" s="50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23.25" customHeight="1" x14ac:dyDescent="0.2">
      <c r="A56" s="52"/>
      <c r="B56" s="52" t="s">
        <v>238</v>
      </c>
      <c r="C56" s="58" t="s">
        <v>148</v>
      </c>
      <c r="D56" s="59"/>
      <c r="E56" s="50"/>
      <c r="F56" s="50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23.25" customHeight="1" x14ac:dyDescent="0.2">
      <c r="A57" s="52"/>
      <c r="B57" s="52" t="s">
        <v>239</v>
      </c>
      <c r="C57" s="58" t="s">
        <v>158</v>
      </c>
      <c r="D57" s="57" t="s">
        <v>108</v>
      </c>
      <c r="E57" s="50">
        <v>2000</v>
      </c>
      <c r="F57" s="50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23.25" customHeight="1" x14ac:dyDescent="0.2">
      <c r="A58" s="52"/>
      <c r="B58" s="52" t="s">
        <v>240</v>
      </c>
      <c r="C58" s="58" t="s">
        <v>148</v>
      </c>
      <c r="D58" s="57" t="s">
        <v>108</v>
      </c>
      <c r="E58" s="50">
        <v>1800</v>
      </c>
      <c r="F58" s="50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23.25" customHeight="1" x14ac:dyDescent="0.2">
      <c r="A59" s="52"/>
      <c r="B59" s="52" t="s">
        <v>241</v>
      </c>
      <c r="C59" s="58" t="s">
        <v>164</v>
      </c>
      <c r="D59" s="57" t="s">
        <v>108</v>
      </c>
      <c r="E59" s="50">
        <v>4700</v>
      </c>
      <c r="F59" s="50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23.25" customHeight="1" x14ac:dyDescent="0.2">
      <c r="A60" s="52"/>
      <c r="B60" s="52" t="s">
        <v>242</v>
      </c>
      <c r="C60" s="52" t="s">
        <v>146</v>
      </c>
      <c r="D60" s="57" t="s">
        <v>153</v>
      </c>
      <c r="E60" s="49">
        <v>6500</v>
      </c>
      <c r="F60" s="50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23.25" customHeight="1" x14ac:dyDescent="0.2">
      <c r="A61" s="52"/>
      <c r="B61" s="52" t="s">
        <v>243</v>
      </c>
      <c r="C61" s="58" t="s">
        <v>146</v>
      </c>
      <c r="D61" s="57" t="s">
        <v>153</v>
      </c>
      <c r="E61" s="50">
        <v>13500</v>
      </c>
      <c r="F61" s="50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23.25" customHeight="1" x14ac:dyDescent="0.2">
      <c r="A62" s="52"/>
      <c r="B62" s="52" t="s">
        <v>244</v>
      </c>
      <c r="C62" s="58" t="s">
        <v>158</v>
      </c>
      <c r="D62" s="57" t="s">
        <v>129</v>
      </c>
      <c r="E62" s="50">
        <v>3600</v>
      </c>
      <c r="F62" s="50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23.25" customHeight="1" x14ac:dyDescent="0.2">
      <c r="A63" s="52"/>
      <c r="B63" s="52" t="s">
        <v>244</v>
      </c>
      <c r="C63" s="52"/>
      <c r="D63" s="57" t="s">
        <v>108</v>
      </c>
      <c r="E63" s="50"/>
      <c r="F63" s="50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23.25" customHeight="1" x14ac:dyDescent="0.2">
      <c r="A64" s="52"/>
      <c r="B64" s="52" t="s">
        <v>245</v>
      </c>
      <c r="C64" s="52" t="s">
        <v>177</v>
      </c>
      <c r="D64" s="52" t="s">
        <v>163</v>
      </c>
      <c r="E64" s="49">
        <v>0</v>
      </c>
      <c r="F64" s="49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23.25" customHeight="1" x14ac:dyDescent="0.2">
      <c r="A65" s="52" t="s">
        <v>246</v>
      </c>
      <c r="B65" s="52" t="s">
        <v>247</v>
      </c>
      <c r="C65" s="58" t="s">
        <v>148</v>
      </c>
      <c r="D65" s="57" t="s">
        <v>135</v>
      </c>
      <c r="E65" s="50">
        <v>12000</v>
      </c>
      <c r="F65" s="50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23.25" customHeight="1" x14ac:dyDescent="0.2">
      <c r="A66" s="52"/>
      <c r="B66" s="52" t="s">
        <v>248</v>
      </c>
      <c r="C66" s="52" t="s">
        <v>162</v>
      </c>
      <c r="D66" s="59" t="s">
        <v>131</v>
      </c>
      <c r="E66" s="49">
        <v>8500</v>
      </c>
      <c r="F66" s="49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23.25" customHeight="1" x14ac:dyDescent="0.2">
      <c r="A67" s="52" t="s">
        <v>249</v>
      </c>
      <c r="B67" s="52" t="s">
        <v>248</v>
      </c>
      <c r="C67" s="52" t="s">
        <v>162</v>
      </c>
      <c r="D67" s="59" t="s">
        <v>131</v>
      </c>
      <c r="E67" s="49">
        <v>15000</v>
      </c>
      <c r="F67" s="50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23.25" customHeight="1" x14ac:dyDescent="0.2">
      <c r="A68" s="52" t="s">
        <v>250</v>
      </c>
      <c r="B68" s="52" t="s">
        <v>248</v>
      </c>
      <c r="C68" s="52" t="s">
        <v>162</v>
      </c>
      <c r="D68" s="59" t="s">
        <v>131</v>
      </c>
      <c r="E68" s="50">
        <v>15000</v>
      </c>
      <c r="F68" s="50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23.25" customHeight="1" x14ac:dyDescent="0.2">
      <c r="A69" s="52"/>
      <c r="B69" s="52" t="s">
        <v>251</v>
      </c>
      <c r="C69" s="52" t="s">
        <v>93</v>
      </c>
      <c r="D69" s="59" t="s">
        <v>159</v>
      </c>
      <c r="E69" s="49">
        <v>2200</v>
      </c>
      <c r="F69" s="49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23.25" customHeight="1" x14ac:dyDescent="0.2">
      <c r="A70" s="52"/>
      <c r="B70" s="52" t="s">
        <v>252</v>
      </c>
      <c r="C70" s="58" t="s">
        <v>148</v>
      </c>
      <c r="D70" s="57" t="s">
        <v>108</v>
      </c>
      <c r="E70" s="50">
        <v>1250</v>
      </c>
      <c r="F70" s="49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23.25" customHeight="1" x14ac:dyDescent="0.2">
      <c r="A71" s="52"/>
      <c r="B71" s="52" t="s">
        <v>252</v>
      </c>
      <c r="C71" s="52" t="s">
        <v>148</v>
      </c>
      <c r="D71" s="57" t="s">
        <v>108</v>
      </c>
      <c r="E71" s="49">
        <v>2000</v>
      </c>
      <c r="F71" s="49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23.25" customHeight="1" x14ac:dyDescent="0.2">
      <c r="A72" s="52"/>
      <c r="B72" s="52" t="s">
        <v>253</v>
      </c>
      <c r="C72" s="52" t="s">
        <v>93</v>
      </c>
      <c r="D72" s="59" t="s">
        <v>159</v>
      </c>
      <c r="E72" s="49">
        <v>2500</v>
      </c>
      <c r="F72" s="49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23.25" customHeight="1" x14ac:dyDescent="0.2">
      <c r="A73" s="52"/>
      <c r="B73" s="52" t="s">
        <v>254</v>
      </c>
      <c r="C73" s="52" t="s">
        <v>93</v>
      </c>
      <c r="D73" s="57" t="s">
        <v>151</v>
      </c>
      <c r="E73" s="49">
        <v>2200</v>
      </c>
      <c r="F73" s="49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23.25" customHeight="1" x14ac:dyDescent="0.2">
      <c r="A74" s="52"/>
      <c r="B74" s="52" t="s">
        <v>255</v>
      </c>
      <c r="C74" s="52"/>
      <c r="D74" s="57" t="s">
        <v>157</v>
      </c>
      <c r="E74" s="50"/>
      <c r="F74" s="49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3.25" customHeight="1" x14ac:dyDescent="0.2">
      <c r="A75" s="52" t="s">
        <v>256</v>
      </c>
      <c r="B75" s="52" t="s">
        <v>257</v>
      </c>
      <c r="C75" s="52"/>
      <c r="D75" s="57" t="s">
        <v>135</v>
      </c>
      <c r="E75" s="50"/>
      <c r="F75" s="49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23.25" customHeight="1" x14ac:dyDescent="0.2">
      <c r="A76" s="52"/>
      <c r="B76" s="52" t="s">
        <v>258</v>
      </c>
      <c r="C76" s="52" t="s">
        <v>158</v>
      </c>
      <c r="D76" s="57" t="s">
        <v>129</v>
      </c>
      <c r="E76" s="49">
        <v>6800</v>
      </c>
      <c r="F76" s="50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23.25" customHeight="1" x14ac:dyDescent="0.2">
      <c r="A77" s="52"/>
      <c r="B77" s="52" t="s">
        <v>259</v>
      </c>
      <c r="C77" s="58" t="s">
        <v>148</v>
      </c>
      <c r="D77" s="57" t="s">
        <v>108</v>
      </c>
      <c r="E77" s="50">
        <v>950</v>
      </c>
      <c r="F77" s="49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23.25" customHeight="1" x14ac:dyDescent="0.2">
      <c r="A78" s="52"/>
      <c r="B78" s="52" t="s">
        <v>260</v>
      </c>
      <c r="C78" s="58" t="s">
        <v>158</v>
      </c>
      <c r="D78" s="57" t="s">
        <v>157</v>
      </c>
      <c r="E78" s="49">
        <v>3600</v>
      </c>
      <c r="F78" s="49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23.25" customHeight="1" x14ac:dyDescent="0.2">
      <c r="A79" s="52"/>
      <c r="B79" s="52" t="s">
        <v>261</v>
      </c>
      <c r="C79" s="58" t="s">
        <v>158</v>
      </c>
      <c r="D79" s="57" t="s">
        <v>157</v>
      </c>
      <c r="E79" s="50">
        <v>1500</v>
      </c>
      <c r="F79" s="49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23.25" customHeight="1" x14ac:dyDescent="0.2">
      <c r="A80" s="62">
        <v>0.2</v>
      </c>
      <c r="B80" s="52" t="s">
        <v>262</v>
      </c>
      <c r="C80" s="52" t="s">
        <v>110</v>
      </c>
      <c r="D80" s="52" t="s">
        <v>137</v>
      </c>
      <c r="E80" s="49">
        <v>2250</v>
      </c>
      <c r="F80" s="49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23.25" customHeight="1" x14ac:dyDescent="0.2">
      <c r="A81" s="52"/>
      <c r="B81" s="52" t="s">
        <v>263</v>
      </c>
      <c r="C81" s="52" t="s">
        <v>170</v>
      </c>
      <c r="D81" s="52" t="s">
        <v>153</v>
      </c>
      <c r="E81" s="49">
        <v>2000</v>
      </c>
      <c r="F81" s="49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23.25" customHeight="1" x14ac:dyDescent="0.2">
      <c r="A82" s="52"/>
      <c r="B82" s="52" t="s">
        <v>264</v>
      </c>
      <c r="C82" s="52" t="s">
        <v>158</v>
      </c>
      <c r="D82" s="57" t="s">
        <v>108</v>
      </c>
      <c r="E82" s="49">
        <v>1500</v>
      </c>
      <c r="F82" s="49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23.25" customHeight="1" x14ac:dyDescent="0.2">
      <c r="A83" s="52"/>
      <c r="B83" s="52" t="s">
        <v>265</v>
      </c>
      <c r="C83" s="52"/>
      <c r="D83" s="57" t="s">
        <v>153</v>
      </c>
      <c r="E83" s="49"/>
      <c r="F83" s="49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23.25" customHeight="1" x14ac:dyDescent="0.2">
      <c r="A84" s="62">
        <v>0.5</v>
      </c>
      <c r="B84" s="52" t="s">
        <v>266</v>
      </c>
      <c r="C84" s="52" t="s">
        <v>162</v>
      </c>
      <c r="D84" s="59" t="s">
        <v>131</v>
      </c>
      <c r="E84" s="50">
        <v>9800</v>
      </c>
      <c r="F84" s="49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23.25" customHeight="1" x14ac:dyDescent="0.2">
      <c r="A85" s="52"/>
      <c r="B85" s="52" t="s">
        <v>267</v>
      </c>
      <c r="C85" s="52" t="s">
        <v>146</v>
      </c>
      <c r="D85" s="57" t="s">
        <v>157</v>
      </c>
      <c r="E85" s="50">
        <v>1500</v>
      </c>
      <c r="F85" s="49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23.25" customHeight="1" x14ac:dyDescent="0.2">
      <c r="A86" s="52"/>
      <c r="B86" s="52" t="s">
        <v>268</v>
      </c>
      <c r="C86" s="52"/>
      <c r="D86" s="57"/>
      <c r="E86" s="50"/>
      <c r="F86" s="49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23.25" customHeight="1" x14ac:dyDescent="0.2">
      <c r="A87" s="52"/>
      <c r="B87" s="52" t="s">
        <v>269</v>
      </c>
      <c r="C87" s="52" t="s">
        <v>142</v>
      </c>
      <c r="D87" s="57" t="s">
        <v>133</v>
      </c>
      <c r="E87" s="50">
        <v>200</v>
      </c>
      <c r="F87" s="49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23.25" customHeight="1" x14ac:dyDescent="0.2">
      <c r="A88" s="52"/>
      <c r="B88" s="52" t="s">
        <v>270</v>
      </c>
      <c r="C88" s="52" t="s">
        <v>146</v>
      </c>
      <c r="D88" s="57" t="s">
        <v>129</v>
      </c>
      <c r="E88" s="49">
        <v>3300</v>
      </c>
      <c r="F88" s="49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23.25" customHeight="1" x14ac:dyDescent="0.2">
      <c r="A89" s="52"/>
      <c r="B89" s="52" t="s">
        <v>271</v>
      </c>
      <c r="C89" s="58" t="s">
        <v>158</v>
      </c>
      <c r="D89" s="57" t="s">
        <v>108</v>
      </c>
      <c r="E89" s="50">
        <v>2700</v>
      </c>
      <c r="F89" s="49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23.25" customHeight="1" x14ac:dyDescent="0.2">
      <c r="A90" s="52"/>
      <c r="B90" s="52" t="s">
        <v>272</v>
      </c>
      <c r="C90" s="52" t="s">
        <v>158</v>
      </c>
      <c r="D90" s="52" t="s">
        <v>108</v>
      </c>
      <c r="E90" s="49">
        <v>3000</v>
      </c>
      <c r="F90" s="49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23.25" customHeight="1" x14ac:dyDescent="0.2">
      <c r="A91" s="52"/>
      <c r="B91" s="52" t="s">
        <v>273</v>
      </c>
      <c r="C91" s="58" t="s">
        <v>158</v>
      </c>
      <c r="D91" s="57" t="s">
        <v>108</v>
      </c>
      <c r="E91" s="50">
        <v>1400</v>
      </c>
      <c r="F91" s="49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23.25" customHeight="1" x14ac:dyDescent="0.2">
      <c r="A92" s="52"/>
      <c r="B92" s="52" t="s">
        <v>274</v>
      </c>
      <c r="C92" s="52" t="s">
        <v>146</v>
      </c>
      <c r="D92" s="57" t="s">
        <v>153</v>
      </c>
      <c r="E92" s="49">
        <v>1200</v>
      </c>
      <c r="F92" s="49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23.25" customHeight="1" x14ac:dyDescent="0.2">
      <c r="A93" s="52" t="s">
        <v>275</v>
      </c>
      <c r="B93" s="52" t="s">
        <v>274</v>
      </c>
      <c r="C93" s="58" t="s">
        <v>158</v>
      </c>
      <c r="D93" s="57" t="s">
        <v>129</v>
      </c>
      <c r="E93" s="49">
        <v>29500</v>
      </c>
      <c r="F93" s="49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23.25" customHeight="1" x14ac:dyDescent="0.2">
      <c r="A94" s="52"/>
      <c r="B94" s="52" t="s">
        <v>276</v>
      </c>
      <c r="C94" s="58" t="s">
        <v>158</v>
      </c>
      <c r="D94" s="57" t="s">
        <v>108</v>
      </c>
      <c r="E94" s="50">
        <v>3000</v>
      </c>
      <c r="F94" s="49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23.25" customHeight="1" x14ac:dyDescent="0.2">
      <c r="A95" s="62">
        <v>0.2</v>
      </c>
      <c r="B95" s="52" t="s">
        <v>277</v>
      </c>
      <c r="C95" s="52" t="s">
        <v>110</v>
      </c>
      <c r="D95" s="52" t="s">
        <v>137</v>
      </c>
      <c r="E95" s="49">
        <v>2250</v>
      </c>
      <c r="F95" s="49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23.25" customHeight="1" x14ac:dyDescent="0.2">
      <c r="A96" s="52"/>
      <c r="B96" s="52" t="s">
        <v>278</v>
      </c>
      <c r="C96" s="58" t="s">
        <v>158</v>
      </c>
      <c r="D96" s="57" t="s">
        <v>108</v>
      </c>
      <c r="E96" s="49">
        <v>1900</v>
      </c>
      <c r="F96" s="49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23.25" customHeight="1" x14ac:dyDescent="0.2">
      <c r="A97" s="58"/>
      <c r="B97" s="58" t="s">
        <v>279</v>
      </c>
      <c r="C97" s="58" t="s">
        <v>158</v>
      </c>
      <c r="D97" s="57" t="s">
        <v>108</v>
      </c>
      <c r="E97" s="50">
        <v>2100</v>
      </c>
      <c r="F97" s="49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23.25" customHeight="1" x14ac:dyDescent="0.2">
      <c r="A98" s="52" t="s">
        <v>280</v>
      </c>
      <c r="B98" s="52" t="s">
        <v>281</v>
      </c>
      <c r="C98" s="58" t="s">
        <v>158</v>
      </c>
      <c r="D98" s="57" t="s">
        <v>147</v>
      </c>
      <c r="E98" s="49">
        <v>9000</v>
      </c>
      <c r="F98" s="49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23.25" customHeight="1" x14ac:dyDescent="0.2">
      <c r="A99" s="52"/>
      <c r="B99" s="52" t="s">
        <v>282</v>
      </c>
      <c r="C99" s="58" t="s">
        <v>116</v>
      </c>
      <c r="D99" s="57" t="s">
        <v>139</v>
      </c>
      <c r="E99" s="50">
        <v>1400</v>
      </c>
      <c r="F99" s="49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23.25" customHeight="1" x14ac:dyDescent="0.2">
      <c r="A100" s="52" t="s">
        <v>283</v>
      </c>
      <c r="B100" s="52" t="s">
        <v>284</v>
      </c>
      <c r="C100" s="52" t="s">
        <v>119</v>
      </c>
      <c r="D100" s="57" t="s">
        <v>157</v>
      </c>
      <c r="E100" s="49">
        <v>9000</v>
      </c>
      <c r="F100" s="49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23.25" customHeight="1" x14ac:dyDescent="0.2">
      <c r="A101" s="52"/>
      <c r="B101" s="52" t="s">
        <v>284</v>
      </c>
      <c r="C101" s="58" t="s">
        <v>171</v>
      </c>
      <c r="D101" s="57" t="s">
        <v>108</v>
      </c>
      <c r="E101" s="49">
        <v>2100</v>
      </c>
      <c r="F101" s="49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23.25" customHeight="1" x14ac:dyDescent="0.2">
      <c r="A102" s="52"/>
      <c r="B102" s="52" t="s">
        <v>284</v>
      </c>
      <c r="C102" s="52" t="s">
        <v>171</v>
      </c>
      <c r="D102" s="57" t="s">
        <v>133</v>
      </c>
      <c r="E102" s="49">
        <v>2100</v>
      </c>
      <c r="F102" s="49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23.25" customHeight="1" x14ac:dyDescent="0.2">
      <c r="A103" s="52"/>
      <c r="B103" s="52" t="s">
        <v>285</v>
      </c>
      <c r="C103" s="52" t="s">
        <v>102</v>
      </c>
      <c r="D103" s="57" t="s">
        <v>108</v>
      </c>
      <c r="E103" s="49">
        <v>1500</v>
      </c>
      <c r="F103" s="49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23.25" customHeight="1" x14ac:dyDescent="0.2">
      <c r="A104" s="52"/>
      <c r="B104" s="52" t="s">
        <v>285</v>
      </c>
      <c r="C104" s="52" t="s">
        <v>144</v>
      </c>
      <c r="D104" s="57" t="s">
        <v>153</v>
      </c>
      <c r="E104" s="49">
        <v>1500</v>
      </c>
      <c r="F104" s="49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23.25" customHeight="1" x14ac:dyDescent="0.2">
      <c r="A105" s="52"/>
      <c r="B105" s="52" t="s">
        <v>286</v>
      </c>
      <c r="C105" s="52" t="s">
        <v>93</v>
      </c>
      <c r="D105" s="52" t="s">
        <v>159</v>
      </c>
      <c r="E105" s="49">
        <v>3200</v>
      </c>
      <c r="F105" s="49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23.25" customHeight="1" x14ac:dyDescent="0.2">
      <c r="A106" s="52"/>
      <c r="B106" s="52" t="s">
        <v>287</v>
      </c>
      <c r="C106" s="58"/>
      <c r="D106" s="59"/>
      <c r="E106" s="50"/>
      <c r="F106" s="49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23.25" customHeight="1" x14ac:dyDescent="0.2">
      <c r="A107" s="52"/>
      <c r="B107" s="52" t="s">
        <v>288</v>
      </c>
      <c r="C107" s="52" t="s">
        <v>146</v>
      </c>
      <c r="D107" s="57" t="s">
        <v>157</v>
      </c>
      <c r="E107" s="50">
        <v>1800</v>
      </c>
      <c r="F107" s="49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23.25" customHeight="1" x14ac:dyDescent="0.2">
      <c r="A108" s="52"/>
      <c r="B108" s="52" t="s">
        <v>289</v>
      </c>
      <c r="C108" s="52" t="s">
        <v>146</v>
      </c>
      <c r="D108" s="57" t="s">
        <v>153</v>
      </c>
      <c r="E108" s="49">
        <v>13500</v>
      </c>
      <c r="F108" s="49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23.25" customHeight="1" x14ac:dyDescent="0.2">
      <c r="A109" s="52"/>
      <c r="B109" s="52" t="s">
        <v>289</v>
      </c>
      <c r="C109" s="52" t="s">
        <v>146</v>
      </c>
      <c r="D109" s="57" t="s">
        <v>157</v>
      </c>
      <c r="E109" s="49">
        <v>13500</v>
      </c>
      <c r="F109" s="49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23.25" customHeight="1" x14ac:dyDescent="0.2">
      <c r="A110" s="52"/>
      <c r="B110" s="52" t="s">
        <v>290</v>
      </c>
      <c r="C110" s="52" t="s">
        <v>162</v>
      </c>
      <c r="D110" s="57" t="s">
        <v>133</v>
      </c>
      <c r="E110" s="49">
        <v>32000</v>
      </c>
      <c r="F110" s="49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23.25" customHeight="1" x14ac:dyDescent="0.2">
      <c r="A111" s="52"/>
      <c r="B111" s="52" t="s">
        <v>291</v>
      </c>
      <c r="C111" s="52" t="s">
        <v>144</v>
      </c>
      <c r="D111" s="57" t="s">
        <v>108</v>
      </c>
      <c r="E111" s="49">
        <v>135</v>
      </c>
      <c r="F111" s="49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23.25" customHeight="1" x14ac:dyDescent="0.2">
      <c r="A112" s="52"/>
      <c r="B112" s="52" t="s">
        <v>292</v>
      </c>
      <c r="C112" s="52" t="s">
        <v>164</v>
      </c>
      <c r="D112" s="57" t="s">
        <v>108</v>
      </c>
      <c r="E112" s="49">
        <v>6500</v>
      </c>
      <c r="F112" s="49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23.25" customHeight="1" x14ac:dyDescent="0.2">
      <c r="A113" s="52"/>
      <c r="B113" s="52" t="s">
        <v>293</v>
      </c>
      <c r="C113" s="52" t="s">
        <v>164</v>
      </c>
      <c r="D113" s="52" t="s">
        <v>151</v>
      </c>
      <c r="E113" s="49">
        <v>1800</v>
      </c>
      <c r="F113" s="49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23.25" customHeight="1" x14ac:dyDescent="0.2">
      <c r="A114" s="52"/>
      <c r="B114" s="52" t="s">
        <v>294</v>
      </c>
      <c r="C114" s="58" t="s">
        <v>132</v>
      </c>
      <c r="D114" s="57" t="s">
        <v>108</v>
      </c>
      <c r="E114" s="50">
        <v>4900</v>
      </c>
      <c r="F114" s="49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23.25" customHeight="1" x14ac:dyDescent="0.2">
      <c r="A115" s="52" t="s">
        <v>295</v>
      </c>
      <c r="B115" s="52" t="s">
        <v>294</v>
      </c>
      <c r="C115" s="58"/>
      <c r="D115" s="59"/>
      <c r="E115" s="50"/>
      <c r="F115" s="49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23.25" customHeight="1" x14ac:dyDescent="0.2">
      <c r="A116" s="52"/>
      <c r="B116" s="52" t="s">
        <v>296</v>
      </c>
      <c r="C116" s="52" t="s">
        <v>144</v>
      </c>
      <c r="D116" s="57" t="s">
        <v>108</v>
      </c>
      <c r="E116" s="49">
        <v>1625</v>
      </c>
      <c r="F116" s="49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23.25" customHeight="1" x14ac:dyDescent="0.2">
      <c r="A117" s="52"/>
      <c r="B117" s="52" t="s">
        <v>296</v>
      </c>
      <c r="C117" s="52" t="s">
        <v>176</v>
      </c>
      <c r="D117" s="57" t="s">
        <v>151</v>
      </c>
      <c r="E117" s="49">
        <v>1625</v>
      </c>
      <c r="F117" s="49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23.25" customHeight="1" x14ac:dyDescent="0.2">
      <c r="A118" s="52"/>
      <c r="B118" s="52" t="s">
        <v>297</v>
      </c>
      <c r="C118" s="52" t="s">
        <v>152</v>
      </c>
      <c r="D118" s="57" t="s">
        <v>147</v>
      </c>
      <c r="E118" s="49">
        <v>180</v>
      </c>
      <c r="F118" s="49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23.25" customHeight="1" x14ac:dyDescent="0.2">
      <c r="A119" s="52"/>
      <c r="B119" s="52" t="s">
        <v>297</v>
      </c>
      <c r="C119" s="52" t="s">
        <v>176</v>
      </c>
      <c r="D119" s="57" t="s">
        <v>151</v>
      </c>
      <c r="E119" s="49">
        <v>180</v>
      </c>
      <c r="F119" s="49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23.25" customHeight="1" x14ac:dyDescent="0.2">
      <c r="A120" s="52"/>
      <c r="B120" s="52" t="s">
        <v>298</v>
      </c>
      <c r="C120" s="52" t="s">
        <v>176</v>
      </c>
      <c r="D120" s="57" t="s">
        <v>151</v>
      </c>
      <c r="E120" s="49">
        <v>1925</v>
      </c>
      <c r="F120" s="49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23.25" customHeight="1" x14ac:dyDescent="0.2">
      <c r="A121" s="52"/>
      <c r="B121" s="52" t="s">
        <v>299</v>
      </c>
      <c r="C121" s="52" t="s">
        <v>144</v>
      </c>
      <c r="D121" s="52" t="s">
        <v>153</v>
      </c>
      <c r="E121" s="49">
        <v>1180</v>
      </c>
      <c r="F121" s="49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23.25" customHeight="1" x14ac:dyDescent="0.2">
      <c r="A122" s="52"/>
      <c r="B122" s="52" t="s">
        <v>300</v>
      </c>
      <c r="C122" s="52"/>
      <c r="D122" s="57" t="s">
        <v>120</v>
      </c>
      <c r="E122" s="50"/>
      <c r="F122" s="49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23.25" customHeight="1" x14ac:dyDescent="0.2">
      <c r="A123" s="52"/>
      <c r="B123" s="52" t="s">
        <v>301</v>
      </c>
      <c r="C123" s="52"/>
      <c r="D123" s="57" t="s">
        <v>135</v>
      </c>
      <c r="E123" s="50"/>
      <c r="F123" s="49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23.25" customHeight="1" x14ac:dyDescent="0.2">
      <c r="A124" s="52"/>
      <c r="B124" s="52" t="s">
        <v>302</v>
      </c>
      <c r="C124" s="58" t="s">
        <v>148</v>
      </c>
      <c r="D124" s="57" t="s">
        <v>120</v>
      </c>
      <c r="E124" s="50">
        <v>3000</v>
      </c>
      <c r="F124" s="49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23.25" customHeight="1" x14ac:dyDescent="0.2">
      <c r="A125" s="52"/>
      <c r="B125" s="52" t="s">
        <v>303</v>
      </c>
      <c r="C125" s="52" t="s">
        <v>158</v>
      </c>
      <c r="D125" s="57" t="s">
        <v>108</v>
      </c>
      <c r="E125" s="49">
        <v>4500</v>
      </c>
      <c r="F125" s="49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23.25" customHeight="1" x14ac:dyDescent="0.2">
      <c r="A126" s="52"/>
      <c r="B126" s="52" t="s">
        <v>303</v>
      </c>
      <c r="C126" s="52" t="s">
        <v>158</v>
      </c>
      <c r="D126" s="57" t="s">
        <v>120</v>
      </c>
      <c r="E126" s="49">
        <v>4500</v>
      </c>
      <c r="F126" s="49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23.25" customHeight="1" x14ac:dyDescent="0.2">
      <c r="A127" s="52"/>
      <c r="B127" s="52" t="s">
        <v>304</v>
      </c>
      <c r="C127" s="58" t="s">
        <v>146</v>
      </c>
      <c r="D127" s="57" t="s">
        <v>157</v>
      </c>
      <c r="E127" s="50">
        <v>1500</v>
      </c>
      <c r="F127" s="49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23.25" customHeight="1" x14ac:dyDescent="0.2">
      <c r="A128" s="52"/>
      <c r="B128" s="52" t="s">
        <v>305</v>
      </c>
      <c r="C128" s="52" t="s">
        <v>158</v>
      </c>
      <c r="D128" s="57" t="s">
        <v>108</v>
      </c>
      <c r="E128" s="49">
        <v>3000</v>
      </c>
      <c r="F128" s="49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23.25" customHeight="1" x14ac:dyDescent="0.2">
      <c r="A129" s="52"/>
      <c r="B129" s="52" t="s">
        <v>305</v>
      </c>
      <c r="C129" s="52" t="s">
        <v>158</v>
      </c>
      <c r="D129" s="57" t="s">
        <v>108</v>
      </c>
      <c r="E129" s="49">
        <v>3300</v>
      </c>
      <c r="F129" s="49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23.25" customHeight="1" x14ac:dyDescent="0.2">
      <c r="A130" s="52"/>
      <c r="B130" s="52" t="s">
        <v>306</v>
      </c>
      <c r="C130" s="52"/>
      <c r="D130" s="57"/>
      <c r="E130" s="50"/>
      <c r="F130" s="49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23.25" customHeight="1" x14ac:dyDescent="0.2">
      <c r="A131" s="52"/>
      <c r="B131" s="52" t="s">
        <v>307</v>
      </c>
      <c r="C131" s="58" t="s">
        <v>148</v>
      </c>
      <c r="D131" s="57" t="s">
        <v>108</v>
      </c>
      <c r="E131" s="50">
        <v>2200</v>
      </c>
      <c r="F131" s="49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23.25" customHeight="1" x14ac:dyDescent="0.2">
      <c r="A132" s="52"/>
      <c r="B132" s="52" t="s">
        <v>308</v>
      </c>
      <c r="C132" s="58"/>
      <c r="D132" s="59"/>
      <c r="E132" s="50"/>
      <c r="F132" s="49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23.25" customHeight="1" x14ac:dyDescent="0.2">
      <c r="A133" s="52"/>
      <c r="B133" s="52" t="s">
        <v>309</v>
      </c>
      <c r="C133" s="58" t="s">
        <v>148</v>
      </c>
      <c r="D133" s="57" t="s">
        <v>120</v>
      </c>
      <c r="E133" s="50">
        <v>4800</v>
      </c>
      <c r="F133" s="49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23.25" customHeight="1" x14ac:dyDescent="0.2">
      <c r="A134" s="52"/>
      <c r="B134" s="52" t="s">
        <v>310</v>
      </c>
      <c r="C134" s="58" t="s">
        <v>93</v>
      </c>
      <c r="D134" s="57" t="s">
        <v>159</v>
      </c>
      <c r="E134" s="50">
        <v>3200</v>
      </c>
      <c r="F134" s="49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23.25" customHeight="1" x14ac:dyDescent="0.2">
      <c r="A135" s="52"/>
      <c r="B135" s="52" t="s">
        <v>311</v>
      </c>
      <c r="C135" s="58" t="s">
        <v>158</v>
      </c>
      <c r="D135" s="57" t="s">
        <v>108</v>
      </c>
      <c r="E135" s="50">
        <v>1500</v>
      </c>
      <c r="F135" s="49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23.25" customHeight="1" x14ac:dyDescent="0.2">
      <c r="A136" s="52"/>
      <c r="B136" s="52" t="s">
        <v>312</v>
      </c>
      <c r="C136" s="58" t="s">
        <v>146</v>
      </c>
      <c r="D136" s="57" t="s">
        <v>129</v>
      </c>
      <c r="E136" s="50">
        <v>88500</v>
      </c>
      <c r="F136" s="49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23.25" customHeight="1" x14ac:dyDescent="0.2">
      <c r="A137" s="52"/>
      <c r="B137" s="52" t="s">
        <v>313</v>
      </c>
      <c r="C137" s="58" t="s">
        <v>146</v>
      </c>
      <c r="D137" s="57" t="s">
        <v>108</v>
      </c>
      <c r="E137" s="50">
        <v>1500</v>
      </c>
      <c r="F137" s="49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23.25" customHeight="1" x14ac:dyDescent="0.2">
      <c r="A138" s="52"/>
      <c r="B138" s="52" t="s">
        <v>314</v>
      </c>
      <c r="C138" s="52" t="s">
        <v>158</v>
      </c>
      <c r="D138" s="57" t="s">
        <v>108</v>
      </c>
      <c r="E138" s="49">
        <v>1800</v>
      </c>
      <c r="F138" s="49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23.25" customHeight="1" x14ac:dyDescent="0.2">
      <c r="A139" s="52"/>
      <c r="B139" s="52" t="s">
        <v>315</v>
      </c>
      <c r="C139" s="52"/>
      <c r="D139" s="57"/>
      <c r="E139" s="50"/>
      <c r="F139" s="49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23.25" customHeight="1" x14ac:dyDescent="0.2">
      <c r="A140" s="52" t="s">
        <v>316</v>
      </c>
      <c r="B140" s="52" t="s">
        <v>317</v>
      </c>
      <c r="C140" s="52" t="s">
        <v>158</v>
      </c>
      <c r="D140" s="57" t="s">
        <v>147</v>
      </c>
      <c r="E140" s="49">
        <v>15000</v>
      </c>
      <c r="F140" s="49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23.25" customHeight="1" x14ac:dyDescent="0.2">
      <c r="A141" s="52"/>
      <c r="B141" s="52" t="s">
        <v>318</v>
      </c>
      <c r="C141" s="52" t="s">
        <v>162</v>
      </c>
      <c r="D141" s="59" t="s">
        <v>114</v>
      </c>
      <c r="E141" s="50">
        <v>5500</v>
      </c>
      <c r="F141" s="49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23.25" customHeight="1" x14ac:dyDescent="0.2">
      <c r="A142" s="52"/>
      <c r="B142" s="52" t="s">
        <v>319</v>
      </c>
      <c r="C142" s="58" t="s">
        <v>146</v>
      </c>
      <c r="D142" s="57" t="s">
        <v>153</v>
      </c>
      <c r="E142" s="49">
        <v>1200</v>
      </c>
      <c r="F142" s="49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23.25" customHeight="1" x14ac:dyDescent="0.2">
      <c r="A143" s="52" t="s">
        <v>320</v>
      </c>
      <c r="B143" s="52" t="s">
        <v>321</v>
      </c>
      <c r="C143" s="58" t="s">
        <v>158</v>
      </c>
      <c r="D143" s="57" t="s">
        <v>133</v>
      </c>
      <c r="E143" s="49">
        <v>27000</v>
      </c>
      <c r="F143" s="49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23.25" customHeight="1" x14ac:dyDescent="0.2">
      <c r="A144" s="52"/>
      <c r="B144" s="52" t="s">
        <v>322</v>
      </c>
      <c r="C144" s="52" t="s">
        <v>158</v>
      </c>
      <c r="D144" s="52" t="s">
        <v>157</v>
      </c>
      <c r="E144" s="49">
        <v>5500</v>
      </c>
      <c r="F144" s="49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23.25" customHeight="1" x14ac:dyDescent="0.2">
      <c r="A145" s="52"/>
      <c r="B145" s="52" t="s">
        <v>323</v>
      </c>
      <c r="C145" s="52" t="s">
        <v>140</v>
      </c>
      <c r="D145" s="57" t="s">
        <v>108</v>
      </c>
      <c r="E145" s="49">
        <v>275</v>
      </c>
      <c r="F145" s="49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23.25" customHeight="1" x14ac:dyDescent="0.2">
      <c r="A146" s="52"/>
      <c r="B146" s="52" t="s">
        <v>324</v>
      </c>
      <c r="C146" s="58" t="s">
        <v>148</v>
      </c>
      <c r="D146" s="57" t="s">
        <v>147</v>
      </c>
      <c r="E146" s="50">
        <v>1950</v>
      </c>
      <c r="F146" s="49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23.25" customHeight="1" x14ac:dyDescent="0.2">
      <c r="A147" s="52"/>
      <c r="B147" s="52" t="s">
        <v>325</v>
      </c>
      <c r="C147" s="58" t="s">
        <v>158</v>
      </c>
      <c r="D147" s="57" t="s">
        <v>108</v>
      </c>
      <c r="E147" s="50">
        <v>3600</v>
      </c>
      <c r="F147" s="49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23.25" customHeight="1" x14ac:dyDescent="0.2">
      <c r="A148" s="52" t="s">
        <v>326</v>
      </c>
      <c r="B148" s="52" t="s">
        <v>325</v>
      </c>
      <c r="C148" s="52" t="s">
        <v>158</v>
      </c>
      <c r="D148" s="57" t="s">
        <v>157</v>
      </c>
      <c r="E148" s="49">
        <v>24000</v>
      </c>
      <c r="F148" s="49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23.25" customHeight="1" x14ac:dyDescent="0.2">
      <c r="A149" s="52" t="s">
        <v>327</v>
      </c>
      <c r="B149" s="52" t="s">
        <v>328</v>
      </c>
      <c r="C149" s="52" t="s">
        <v>158</v>
      </c>
      <c r="D149" s="57" t="s">
        <v>129</v>
      </c>
      <c r="E149" s="49">
        <v>14000</v>
      </c>
      <c r="F149" s="49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23.25" customHeight="1" x14ac:dyDescent="0.2">
      <c r="A150" s="52"/>
      <c r="B150" s="52" t="s">
        <v>329</v>
      </c>
      <c r="C150" s="52" t="s">
        <v>158</v>
      </c>
      <c r="D150" s="57" t="s">
        <v>108</v>
      </c>
      <c r="E150" s="49">
        <v>350</v>
      </c>
      <c r="F150" s="49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23.25" customHeight="1" x14ac:dyDescent="0.2">
      <c r="A151" s="52"/>
      <c r="B151" s="52" t="s">
        <v>329</v>
      </c>
      <c r="C151" s="52" t="s">
        <v>158</v>
      </c>
      <c r="D151" s="57" t="s">
        <v>108</v>
      </c>
      <c r="E151" s="49">
        <v>390</v>
      </c>
      <c r="F151" s="49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23.25" customHeight="1" x14ac:dyDescent="0.2">
      <c r="A152" s="52"/>
      <c r="B152" s="52" t="s">
        <v>330</v>
      </c>
      <c r="C152" s="52" t="s">
        <v>158</v>
      </c>
      <c r="D152" s="57" t="s">
        <v>108</v>
      </c>
      <c r="E152" s="49">
        <v>2000</v>
      </c>
      <c r="F152" s="49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23.25" customHeight="1" x14ac:dyDescent="0.2">
      <c r="A153" s="52" t="s">
        <v>331</v>
      </c>
      <c r="B153" s="52" t="s">
        <v>332</v>
      </c>
      <c r="C153" s="52" t="s">
        <v>162</v>
      </c>
      <c r="D153" s="57" t="s">
        <v>133</v>
      </c>
      <c r="E153" s="50">
        <v>2600</v>
      </c>
      <c r="F153" s="49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23.25" customHeight="1" x14ac:dyDescent="0.2">
      <c r="A154" s="52"/>
      <c r="B154" s="52" t="s">
        <v>333</v>
      </c>
      <c r="C154" s="58" t="s">
        <v>132</v>
      </c>
      <c r="D154" s="57" t="s">
        <v>108</v>
      </c>
      <c r="E154" s="50">
        <v>690</v>
      </c>
      <c r="F154" s="49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23.25" customHeight="1" x14ac:dyDescent="0.2">
      <c r="A155" s="52"/>
      <c r="B155" s="52" t="s">
        <v>333</v>
      </c>
      <c r="C155" s="52" t="s">
        <v>132</v>
      </c>
      <c r="D155" s="57" t="s">
        <v>108</v>
      </c>
      <c r="E155" s="49">
        <v>1500</v>
      </c>
      <c r="F155" s="49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23.25" customHeight="1" x14ac:dyDescent="0.2">
      <c r="A156" s="52"/>
      <c r="B156" s="52" t="s">
        <v>333</v>
      </c>
      <c r="C156" s="52" t="s">
        <v>162</v>
      </c>
      <c r="D156" s="57" t="s">
        <v>133</v>
      </c>
      <c r="E156" s="50">
        <v>2600</v>
      </c>
      <c r="F156" s="49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23.25" customHeight="1" x14ac:dyDescent="0.2">
      <c r="A157" s="52"/>
      <c r="B157" s="52" t="s">
        <v>334</v>
      </c>
      <c r="C157" s="58" t="s">
        <v>158</v>
      </c>
      <c r="D157" s="57" t="s">
        <v>135</v>
      </c>
      <c r="E157" s="50">
        <v>1800</v>
      </c>
      <c r="F157" s="49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23.25" customHeight="1" x14ac:dyDescent="0.2">
      <c r="A158" s="52" t="s">
        <v>335</v>
      </c>
      <c r="B158" s="52" t="s">
        <v>336</v>
      </c>
      <c r="C158" s="52" t="s">
        <v>167</v>
      </c>
      <c r="D158" s="57" t="s">
        <v>151</v>
      </c>
      <c r="E158" s="50">
        <v>900</v>
      </c>
      <c r="F158" s="49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23.25" customHeight="1" x14ac:dyDescent="0.2">
      <c r="A159" s="52"/>
      <c r="B159" s="52" t="s">
        <v>337</v>
      </c>
      <c r="C159" s="58"/>
      <c r="D159" s="59"/>
      <c r="E159" s="50"/>
      <c r="F159" s="49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23.25" customHeight="1" x14ac:dyDescent="0.2">
      <c r="A160" s="52"/>
      <c r="B160" s="52" t="s">
        <v>338</v>
      </c>
      <c r="C160" s="52" t="s">
        <v>102</v>
      </c>
      <c r="D160" s="57" t="s">
        <v>139</v>
      </c>
      <c r="E160" s="50">
        <v>450</v>
      </c>
      <c r="F160" s="49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23.25" customHeight="1" x14ac:dyDescent="0.2">
      <c r="A161" s="52"/>
      <c r="B161" s="52" t="s">
        <v>339</v>
      </c>
      <c r="C161" s="52" t="s">
        <v>102</v>
      </c>
      <c r="D161" s="52" t="s">
        <v>108</v>
      </c>
      <c r="E161" s="49">
        <v>450</v>
      </c>
      <c r="F161" s="49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23.25" customHeight="1" x14ac:dyDescent="0.2">
      <c r="A162" s="52"/>
      <c r="B162" s="52" t="s">
        <v>339</v>
      </c>
      <c r="C162" s="52"/>
      <c r="D162" s="57" t="s">
        <v>94</v>
      </c>
      <c r="E162" s="50"/>
      <c r="F162" s="49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23.25" customHeight="1" x14ac:dyDescent="0.2">
      <c r="A163" s="52"/>
      <c r="B163" s="52" t="s">
        <v>340</v>
      </c>
      <c r="C163" s="58" t="s">
        <v>146</v>
      </c>
      <c r="D163" s="57" t="s">
        <v>157</v>
      </c>
      <c r="E163" s="50">
        <v>2500</v>
      </c>
      <c r="F163" s="49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23.25" customHeight="1" x14ac:dyDescent="0.2">
      <c r="A164" s="52" t="s">
        <v>341</v>
      </c>
      <c r="B164" s="52" t="s">
        <v>342</v>
      </c>
      <c r="C164" s="52" t="s">
        <v>125</v>
      </c>
      <c r="D164" s="57" t="s">
        <v>123</v>
      </c>
      <c r="E164" s="50">
        <v>138500</v>
      </c>
      <c r="F164" s="49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23.25" customHeight="1" x14ac:dyDescent="0.2">
      <c r="A165" s="52"/>
      <c r="B165" s="52" t="s">
        <v>343</v>
      </c>
      <c r="C165" s="52" t="s">
        <v>130</v>
      </c>
      <c r="D165" s="57" t="s">
        <v>153</v>
      </c>
      <c r="E165" s="49">
        <v>200</v>
      </c>
      <c r="F165" s="49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23.25" customHeight="1" x14ac:dyDescent="0.2">
      <c r="A166" s="52"/>
      <c r="B166" s="52" t="s">
        <v>343</v>
      </c>
      <c r="C166" s="52" t="s">
        <v>130</v>
      </c>
      <c r="D166" s="57" t="s">
        <v>153</v>
      </c>
      <c r="E166" s="49">
        <v>300</v>
      </c>
      <c r="F166" s="49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23.25" customHeight="1" x14ac:dyDescent="0.2">
      <c r="A167" s="52"/>
      <c r="B167" s="52" t="s">
        <v>343</v>
      </c>
      <c r="C167" s="52" t="s">
        <v>146</v>
      </c>
      <c r="D167" s="57" t="s">
        <v>133</v>
      </c>
      <c r="E167" s="49">
        <v>300</v>
      </c>
      <c r="F167" s="49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23.25" customHeight="1" x14ac:dyDescent="0.2">
      <c r="A168" s="52"/>
      <c r="B168" s="52" t="s">
        <v>344</v>
      </c>
      <c r="C168" s="52" t="s">
        <v>176</v>
      </c>
      <c r="D168" s="57" t="s">
        <v>151</v>
      </c>
      <c r="E168" s="49">
        <v>1800</v>
      </c>
      <c r="F168" s="49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23.25" customHeight="1" x14ac:dyDescent="0.2">
      <c r="A169" s="52"/>
      <c r="B169" s="52" t="s">
        <v>345</v>
      </c>
      <c r="C169" s="52" t="s">
        <v>162</v>
      </c>
      <c r="D169" s="57" t="s">
        <v>135</v>
      </c>
      <c r="E169" s="49">
        <v>950</v>
      </c>
      <c r="F169" s="49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23.25" customHeight="1" x14ac:dyDescent="0.2">
      <c r="A170" s="52" t="s">
        <v>346</v>
      </c>
      <c r="B170" s="52" t="s">
        <v>347</v>
      </c>
      <c r="C170" s="58"/>
      <c r="D170" s="59"/>
      <c r="E170" s="50"/>
      <c r="F170" s="49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23.25" customHeight="1" x14ac:dyDescent="0.2">
      <c r="A171" s="52"/>
      <c r="B171" s="52" t="s">
        <v>348</v>
      </c>
      <c r="C171" s="58"/>
      <c r="D171" s="59"/>
      <c r="E171" s="50"/>
      <c r="F171" s="49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23.25" customHeight="1" x14ac:dyDescent="0.2">
      <c r="A172" s="52" t="s">
        <v>349</v>
      </c>
      <c r="B172" s="52" t="s">
        <v>350</v>
      </c>
      <c r="C172" s="52" t="s">
        <v>165</v>
      </c>
      <c r="D172" s="57" t="s">
        <v>133</v>
      </c>
      <c r="E172" s="49">
        <v>18000</v>
      </c>
      <c r="F172" s="49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23.25" customHeight="1" x14ac:dyDescent="0.2">
      <c r="A173" s="52"/>
      <c r="B173" s="52" t="s">
        <v>351</v>
      </c>
      <c r="C173" s="58" t="s">
        <v>158</v>
      </c>
      <c r="D173" s="57" t="s">
        <v>108</v>
      </c>
      <c r="E173" s="49">
        <v>1400</v>
      </c>
      <c r="F173" s="49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23.25" customHeight="1" x14ac:dyDescent="0.2">
      <c r="A174" s="52"/>
      <c r="B174" s="52" t="s">
        <v>352</v>
      </c>
      <c r="C174" s="52" t="s">
        <v>146</v>
      </c>
      <c r="D174" s="57" t="s">
        <v>153</v>
      </c>
      <c r="E174" s="49">
        <v>1500</v>
      </c>
      <c r="F174" s="49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23.25" customHeight="1" x14ac:dyDescent="0.2">
      <c r="A175" s="52"/>
      <c r="B175" s="52" t="s">
        <v>34</v>
      </c>
      <c r="C175" s="52"/>
      <c r="D175" s="57"/>
      <c r="E175" s="49"/>
      <c r="F175" s="49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23.25" customHeight="1" x14ac:dyDescent="0.2">
      <c r="A176" s="52"/>
      <c r="B176" s="52" t="s">
        <v>353</v>
      </c>
      <c r="C176" s="58" t="s">
        <v>158</v>
      </c>
      <c r="D176" s="57" t="s">
        <v>108</v>
      </c>
      <c r="E176" s="50">
        <v>700</v>
      </c>
      <c r="F176" s="49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23.25" customHeight="1" x14ac:dyDescent="0.2">
      <c r="A177" s="52"/>
      <c r="B177" s="52" t="s">
        <v>353</v>
      </c>
      <c r="C177" s="52" t="s">
        <v>158</v>
      </c>
      <c r="D177" s="57" t="s">
        <v>108</v>
      </c>
      <c r="E177" s="49">
        <v>2500</v>
      </c>
      <c r="F177" s="49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23.25" customHeight="1" x14ac:dyDescent="0.2">
      <c r="A178" s="52"/>
      <c r="B178" s="52" t="s">
        <v>354</v>
      </c>
      <c r="C178" s="58" t="s">
        <v>158</v>
      </c>
      <c r="D178" s="57" t="s">
        <v>108</v>
      </c>
      <c r="E178" s="50">
        <v>4000</v>
      </c>
      <c r="F178" s="49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23.25" customHeight="1" x14ac:dyDescent="0.2">
      <c r="A179" s="52"/>
      <c r="B179" s="52" t="s">
        <v>354</v>
      </c>
      <c r="C179" s="52" t="s">
        <v>158</v>
      </c>
      <c r="D179" s="52" t="s">
        <v>108</v>
      </c>
      <c r="E179" s="49">
        <v>4000</v>
      </c>
      <c r="F179" s="49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23.25" customHeight="1" x14ac:dyDescent="0.2">
      <c r="A180" s="52"/>
      <c r="B180" s="52" t="s">
        <v>354</v>
      </c>
      <c r="C180" s="58"/>
      <c r="D180" s="57" t="s">
        <v>157</v>
      </c>
      <c r="E180" s="50"/>
      <c r="F180" s="49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23.25" customHeight="1" x14ac:dyDescent="0.2">
      <c r="A181" s="52"/>
      <c r="B181" s="52" t="s">
        <v>355</v>
      </c>
      <c r="C181" s="58" t="s">
        <v>158</v>
      </c>
      <c r="D181" s="57" t="s">
        <v>108</v>
      </c>
      <c r="E181" s="50">
        <v>2000</v>
      </c>
      <c r="F181" s="49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23.25" customHeight="1" x14ac:dyDescent="0.2">
      <c r="A182" s="52"/>
      <c r="B182" s="52" t="s">
        <v>356</v>
      </c>
      <c r="C182" s="52" t="s">
        <v>158</v>
      </c>
      <c r="D182" s="52" t="s">
        <v>108</v>
      </c>
      <c r="E182" s="49">
        <v>2500</v>
      </c>
      <c r="F182" s="49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23.25" customHeight="1" x14ac:dyDescent="0.2">
      <c r="A183" s="52"/>
      <c r="B183" s="52" t="s">
        <v>357</v>
      </c>
      <c r="C183" s="52" t="s">
        <v>158</v>
      </c>
      <c r="D183" s="57" t="s">
        <v>108</v>
      </c>
      <c r="E183" s="49">
        <v>2500</v>
      </c>
      <c r="F183" s="49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23.25" customHeight="1" x14ac:dyDescent="0.2">
      <c r="A184" s="52"/>
      <c r="B184" s="52" t="s">
        <v>358</v>
      </c>
      <c r="C184" s="52" t="s">
        <v>158</v>
      </c>
      <c r="D184" s="57" t="s">
        <v>108</v>
      </c>
      <c r="E184" s="49">
        <v>3600</v>
      </c>
      <c r="F184" s="49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23.25" customHeight="1" x14ac:dyDescent="0.2">
      <c r="A185" s="52"/>
      <c r="B185" s="52" t="s">
        <v>359</v>
      </c>
      <c r="C185" s="52" t="s">
        <v>144</v>
      </c>
      <c r="D185" s="57" t="s">
        <v>153</v>
      </c>
      <c r="E185" s="49">
        <v>2200</v>
      </c>
      <c r="F185" s="49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23.25" customHeight="1" x14ac:dyDescent="0.2">
      <c r="A186" s="52"/>
      <c r="B186" s="52" t="s">
        <v>360</v>
      </c>
      <c r="C186" s="52" t="s">
        <v>146</v>
      </c>
      <c r="D186" s="52" t="s">
        <v>131</v>
      </c>
      <c r="E186" s="49">
        <v>7100</v>
      </c>
      <c r="F186" s="49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23.25" customHeight="1" x14ac:dyDescent="0.2">
      <c r="A187" s="52"/>
      <c r="B187" s="52" t="s">
        <v>361</v>
      </c>
      <c r="C187" s="52" t="s">
        <v>158</v>
      </c>
      <c r="D187" s="57" t="s">
        <v>108</v>
      </c>
      <c r="E187" s="49">
        <v>1150</v>
      </c>
      <c r="F187" s="49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23.25" customHeight="1" x14ac:dyDescent="0.2">
      <c r="A188" s="52"/>
      <c r="B188" s="52" t="s">
        <v>362</v>
      </c>
      <c r="C188" s="52" t="s">
        <v>158</v>
      </c>
      <c r="D188" s="57" t="s">
        <v>108</v>
      </c>
      <c r="E188" s="49">
        <v>3300</v>
      </c>
      <c r="F188" s="49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23.25" customHeight="1" x14ac:dyDescent="0.2">
      <c r="A189" s="52"/>
      <c r="B189" s="52" t="s">
        <v>362</v>
      </c>
      <c r="C189" s="52" t="s">
        <v>158</v>
      </c>
      <c r="D189" s="57" t="s">
        <v>108</v>
      </c>
      <c r="E189" s="49">
        <v>4000</v>
      </c>
      <c r="F189" s="49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23.25" customHeight="1" x14ac:dyDescent="0.2">
      <c r="A190" s="52"/>
      <c r="B190" s="52" t="s">
        <v>362</v>
      </c>
      <c r="C190" s="52" t="s">
        <v>158</v>
      </c>
      <c r="D190" s="57" t="s">
        <v>108</v>
      </c>
      <c r="E190" s="49">
        <v>4200</v>
      </c>
      <c r="F190" s="49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23.25" customHeight="1" x14ac:dyDescent="0.2">
      <c r="A191" s="52" t="s">
        <v>363</v>
      </c>
      <c r="B191" s="52" t="s">
        <v>364</v>
      </c>
      <c r="C191" s="52" t="s">
        <v>113</v>
      </c>
      <c r="D191" s="57" t="s">
        <v>129</v>
      </c>
      <c r="E191" s="49">
        <v>4300</v>
      </c>
      <c r="F191" s="49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23.25" customHeight="1" x14ac:dyDescent="0.2">
      <c r="A192" s="52" t="s">
        <v>365</v>
      </c>
      <c r="B192" s="52" t="s">
        <v>364</v>
      </c>
      <c r="C192" s="52" t="s">
        <v>119</v>
      </c>
      <c r="D192" s="57" t="s">
        <v>157</v>
      </c>
      <c r="E192" s="49">
        <v>4500</v>
      </c>
      <c r="F192" s="49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23.25" customHeight="1" x14ac:dyDescent="0.2">
      <c r="A193" s="52" t="s">
        <v>366</v>
      </c>
      <c r="B193" s="52" t="s">
        <v>364</v>
      </c>
      <c r="C193" s="52" t="s">
        <v>158</v>
      </c>
      <c r="D193" s="57" t="s">
        <v>108</v>
      </c>
      <c r="E193" s="49">
        <v>2400</v>
      </c>
      <c r="F193" s="49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23.25" customHeight="1" x14ac:dyDescent="0.2">
      <c r="A194" s="52" t="s">
        <v>367</v>
      </c>
      <c r="B194" s="58" t="s">
        <v>368</v>
      </c>
      <c r="C194" s="58" t="s">
        <v>158</v>
      </c>
      <c r="D194" s="57" t="s">
        <v>157</v>
      </c>
      <c r="E194" s="50">
        <v>8000</v>
      </c>
      <c r="F194" s="49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23.25" customHeight="1" x14ac:dyDescent="0.2">
      <c r="A195" s="52"/>
      <c r="B195" s="52" t="s">
        <v>369</v>
      </c>
      <c r="C195" s="52" t="s">
        <v>176</v>
      </c>
      <c r="D195" s="57" t="s">
        <v>151</v>
      </c>
      <c r="E195" s="49">
        <v>1868</v>
      </c>
      <c r="F195" s="49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23.25" customHeight="1" x14ac:dyDescent="0.2">
      <c r="A196" s="52"/>
      <c r="B196" s="58" t="s">
        <v>370</v>
      </c>
      <c r="C196" s="52" t="s">
        <v>176</v>
      </c>
      <c r="D196" s="57" t="s">
        <v>151</v>
      </c>
      <c r="E196" s="49">
        <v>1868</v>
      </c>
      <c r="F196" s="49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23.25" customHeight="1" x14ac:dyDescent="0.2">
      <c r="A197" s="52"/>
      <c r="B197" s="52" t="s">
        <v>371</v>
      </c>
      <c r="C197" s="52" t="s">
        <v>158</v>
      </c>
      <c r="D197" s="52" t="s">
        <v>108</v>
      </c>
      <c r="E197" s="49">
        <v>3600</v>
      </c>
      <c r="F197" s="49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23.25" customHeight="1" x14ac:dyDescent="0.2">
      <c r="A198" s="52"/>
      <c r="B198" s="52" t="s">
        <v>372</v>
      </c>
      <c r="C198" s="58" t="s">
        <v>148</v>
      </c>
      <c r="D198" s="59" t="s">
        <v>111</v>
      </c>
      <c r="E198" s="50">
        <v>22000</v>
      </c>
      <c r="F198" s="49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23.25" customHeight="1" x14ac:dyDescent="0.2">
      <c r="A199" s="52"/>
      <c r="B199" s="52" t="s">
        <v>373</v>
      </c>
      <c r="C199" s="58"/>
      <c r="D199" s="57" t="s">
        <v>153</v>
      </c>
      <c r="E199" s="50"/>
      <c r="F199" s="49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23.25" customHeight="1" x14ac:dyDescent="0.2">
      <c r="A200" s="52"/>
      <c r="B200" s="52" t="s">
        <v>374</v>
      </c>
      <c r="C200" s="52" t="s">
        <v>175</v>
      </c>
      <c r="D200" s="57" t="s">
        <v>153</v>
      </c>
      <c r="E200" s="49">
        <v>550</v>
      </c>
      <c r="F200" s="49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23.25" customHeight="1" x14ac:dyDescent="0.2">
      <c r="A201" s="52"/>
      <c r="B201" s="52" t="s">
        <v>375</v>
      </c>
      <c r="C201" s="52" t="s">
        <v>224</v>
      </c>
      <c r="D201" s="57" t="s">
        <v>108</v>
      </c>
      <c r="E201" s="49">
        <v>990</v>
      </c>
      <c r="F201" s="49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23.25" customHeight="1" x14ac:dyDescent="0.2">
      <c r="A202" s="52"/>
      <c r="B202" s="52" t="s">
        <v>376</v>
      </c>
      <c r="C202" s="58" t="s">
        <v>158</v>
      </c>
      <c r="D202" s="57" t="s">
        <v>108</v>
      </c>
      <c r="E202" s="50">
        <v>2000</v>
      </c>
      <c r="F202" s="49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23.25" customHeight="1" x14ac:dyDescent="0.2">
      <c r="A203" s="52"/>
      <c r="B203" s="52" t="s">
        <v>377</v>
      </c>
      <c r="C203" s="52" t="s">
        <v>171</v>
      </c>
      <c r="D203" s="57" t="s">
        <v>103</v>
      </c>
      <c r="E203" s="49">
        <v>1000</v>
      </c>
      <c r="F203" s="49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23.25" customHeight="1" x14ac:dyDescent="0.2">
      <c r="A204" s="52"/>
      <c r="B204" s="52" t="s">
        <v>378</v>
      </c>
      <c r="C204" s="52" t="s">
        <v>116</v>
      </c>
      <c r="D204" s="57" t="s">
        <v>123</v>
      </c>
      <c r="E204" s="63">
        <v>5900</v>
      </c>
      <c r="F204" s="49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23.25" customHeight="1" x14ac:dyDescent="0.2">
      <c r="A205" s="52"/>
      <c r="B205" s="52" t="s">
        <v>379</v>
      </c>
      <c r="C205" s="52"/>
      <c r="D205" s="57"/>
      <c r="E205" s="50"/>
      <c r="F205" s="49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23.25" customHeight="1" x14ac:dyDescent="0.2">
      <c r="A206" s="52" t="s">
        <v>380</v>
      </c>
      <c r="B206" s="52" t="s">
        <v>381</v>
      </c>
      <c r="C206" s="52" t="s">
        <v>158</v>
      </c>
      <c r="D206" s="57" t="s">
        <v>129</v>
      </c>
      <c r="E206" s="49">
        <v>1000</v>
      </c>
      <c r="F206" s="49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23.25" customHeight="1" x14ac:dyDescent="0.2">
      <c r="A207" s="52" t="s">
        <v>382</v>
      </c>
      <c r="B207" s="52" t="s">
        <v>383</v>
      </c>
      <c r="C207" s="58" t="s">
        <v>158</v>
      </c>
      <c r="D207" s="57" t="s">
        <v>157</v>
      </c>
      <c r="E207" s="50">
        <v>6300</v>
      </c>
      <c r="F207" s="49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23.25" customHeight="1" x14ac:dyDescent="0.2">
      <c r="A208" s="52"/>
      <c r="B208" s="52" t="s">
        <v>384</v>
      </c>
      <c r="C208" s="52" t="s">
        <v>158</v>
      </c>
      <c r="D208" s="57" t="s">
        <v>133</v>
      </c>
      <c r="E208" s="49">
        <v>2600</v>
      </c>
      <c r="F208" s="49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23.25" customHeight="1" x14ac:dyDescent="0.2">
      <c r="A209" s="52"/>
      <c r="B209" s="52" t="s">
        <v>385</v>
      </c>
      <c r="C209" s="52" t="s">
        <v>177</v>
      </c>
      <c r="D209" s="52" t="s">
        <v>163</v>
      </c>
      <c r="E209" s="49">
        <v>0</v>
      </c>
      <c r="F209" s="49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23.25" customHeight="1" x14ac:dyDescent="0.2">
      <c r="A210" s="52" t="s">
        <v>386</v>
      </c>
      <c r="B210" s="52" t="s">
        <v>387</v>
      </c>
      <c r="C210" s="52" t="s">
        <v>152</v>
      </c>
      <c r="D210" s="57" t="s">
        <v>94</v>
      </c>
      <c r="E210" s="49">
        <v>160</v>
      </c>
      <c r="F210" s="49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23.25" customHeight="1" x14ac:dyDescent="0.2">
      <c r="A211" s="52"/>
      <c r="B211" s="52" t="s">
        <v>388</v>
      </c>
      <c r="C211" s="52" t="s">
        <v>146</v>
      </c>
      <c r="D211" s="57" t="s">
        <v>157</v>
      </c>
      <c r="E211" s="50">
        <v>1800</v>
      </c>
      <c r="F211" s="49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23.25" customHeight="1" x14ac:dyDescent="0.2">
      <c r="A212" s="52"/>
      <c r="B212" s="52" t="s">
        <v>389</v>
      </c>
      <c r="C212" s="52" t="s">
        <v>160</v>
      </c>
      <c r="D212" s="57" t="s">
        <v>108</v>
      </c>
      <c r="E212" s="49">
        <v>500</v>
      </c>
      <c r="F212" s="49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23.25" customHeight="1" x14ac:dyDescent="0.2">
      <c r="A213" s="52"/>
      <c r="B213" s="52" t="s">
        <v>390</v>
      </c>
      <c r="C213" s="52"/>
      <c r="D213" s="57" t="s">
        <v>157</v>
      </c>
      <c r="E213" s="50"/>
      <c r="F213" s="49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23.25" customHeight="1" x14ac:dyDescent="0.2">
      <c r="A214" s="58"/>
      <c r="B214" s="52" t="s">
        <v>391</v>
      </c>
      <c r="C214" s="58" t="s">
        <v>158</v>
      </c>
      <c r="D214" s="57" t="s">
        <v>108</v>
      </c>
      <c r="E214" s="49">
        <v>900</v>
      </c>
      <c r="F214" s="49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23.25" customHeight="1" x14ac:dyDescent="0.2">
      <c r="A215" s="52"/>
      <c r="B215" s="52" t="s">
        <v>392</v>
      </c>
      <c r="C215" s="58" t="s">
        <v>148</v>
      </c>
      <c r="D215" s="57" t="s">
        <v>108</v>
      </c>
      <c r="E215" s="50">
        <v>1450</v>
      </c>
      <c r="F215" s="49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23.25" customHeight="1" x14ac:dyDescent="0.2">
      <c r="A216" s="52"/>
      <c r="B216" s="52" t="s">
        <v>393</v>
      </c>
      <c r="C216" s="52" t="s">
        <v>176</v>
      </c>
      <c r="D216" s="57" t="s">
        <v>151</v>
      </c>
      <c r="E216" s="49">
        <v>1850</v>
      </c>
      <c r="F216" s="49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23.25" customHeight="1" x14ac:dyDescent="0.2">
      <c r="A217" s="52"/>
      <c r="B217" s="52" t="s">
        <v>394</v>
      </c>
      <c r="C217" s="52" t="s">
        <v>162</v>
      </c>
      <c r="D217" s="57" t="s">
        <v>133</v>
      </c>
      <c r="E217" s="49">
        <v>24000</v>
      </c>
      <c r="F217" s="49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23.25" customHeight="1" x14ac:dyDescent="0.2">
      <c r="A218" s="52"/>
      <c r="B218" s="52" t="s">
        <v>395</v>
      </c>
      <c r="C218" s="52" t="s">
        <v>102</v>
      </c>
      <c r="D218" s="57" t="s">
        <v>141</v>
      </c>
      <c r="E218" s="49">
        <v>6500</v>
      </c>
      <c r="F218" s="49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23.25" customHeight="1" x14ac:dyDescent="0.2">
      <c r="A219" s="52" t="s">
        <v>396</v>
      </c>
      <c r="B219" s="52" t="s">
        <v>397</v>
      </c>
      <c r="C219" s="52"/>
      <c r="D219" s="57" t="s">
        <v>133</v>
      </c>
      <c r="E219" s="50"/>
      <c r="F219" s="49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23.25" customHeight="1" x14ac:dyDescent="0.2">
      <c r="A220" s="52"/>
      <c r="B220" s="52" t="s">
        <v>398</v>
      </c>
      <c r="C220" s="58" t="s">
        <v>158</v>
      </c>
      <c r="D220" s="57" t="s">
        <v>108</v>
      </c>
      <c r="E220" s="49">
        <v>700</v>
      </c>
      <c r="F220" s="49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23.25" customHeight="1" x14ac:dyDescent="0.2">
      <c r="A221" s="52"/>
      <c r="B221" s="52" t="s">
        <v>398</v>
      </c>
      <c r="C221" s="52" t="s">
        <v>158</v>
      </c>
      <c r="D221" s="57" t="s">
        <v>108</v>
      </c>
      <c r="E221" s="49">
        <v>1000</v>
      </c>
      <c r="F221" s="49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23.25" customHeight="1" x14ac:dyDescent="0.2">
      <c r="A222" s="52"/>
      <c r="B222" s="52" t="s">
        <v>399</v>
      </c>
      <c r="C222" s="58" t="s">
        <v>148</v>
      </c>
      <c r="D222" s="57" t="s">
        <v>135</v>
      </c>
      <c r="E222" s="50"/>
      <c r="F222" s="49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23.25" customHeight="1" x14ac:dyDescent="0.2">
      <c r="A223" s="52"/>
      <c r="B223" s="52" t="s">
        <v>399</v>
      </c>
      <c r="C223" s="52" t="s">
        <v>148</v>
      </c>
      <c r="D223" s="57" t="s">
        <v>135</v>
      </c>
      <c r="E223" s="49">
        <v>7900</v>
      </c>
      <c r="F223" s="49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23.25" customHeight="1" x14ac:dyDescent="0.2">
      <c r="A224" s="52" t="s">
        <v>211</v>
      </c>
      <c r="B224" s="52" t="s">
        <v>400</v>
      </c>
      <c r="C224" s="58" t="s">
        <v>158</v>
      </c>
      <c r="D224" s="57" t="s">
        <v>151</v>
      </c>
      <c r="E224" s="49">
        <v>28000</v>
      </c>
      <c r="F224" s="49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23.25" customHeight="1" x14ac:dyDescent="0.2">
      <c r="A225" s="52" t="s">
        <v>230</v>
      </c>
      <c r="B225" s="52" t="s">
        <v>401</v>
      </c>
      <c r="C225" s="52" t="s">
        <v>154</v>
      </c>
      <c r="D225" s="57" t="s">
        <v>157</v>
      </c>
      <c r="E225" s="49">
        <v>43450</v>
      </c>
      <c r="F225" s="49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23.25" customHeight="1" x14ac:dyDescent="0.2">
      <c r="A226" s="52" t="s">
        <v>211</v>
      </c>
      <c r="B226" s="52" t="s">
        <v>402</v>
      </c>
      <c r="C226" s="58" t="s">
        <v>158</v>
      </c>
      <c r="D226" s="57" t="s">
        <v>151</v>
      </c>
      <c r="E226" s="49">
        <v>28000</v>
      </c>
      <c r="F226" s="49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23.25" customHeight="1" x14ac:dyDescent="0.2">
      <c r="A227" s="52" t="s">
        <v>230</v>
      </c>
      <c r="B227" s="52" t="s">
        <v>403</v>
      </c>
      <c r="C227" s="52" t="s">
        <v>154</v>
      </c>
      <c r="D227" s="57" t="s">
        <v>157</v>
      </c>
      <c r="E227" s="49">
        <v>57200</v>
      </c>
      <c r="F227" s="49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23.25" customHeight="1" x14ac:dyDescent="0.2">
      <c r="A228" s="52" t="s">
        <v>211</v>
      </c>
      <c r="B228" s="52" t="s">
        <v>404</v>
      </c>
      <c r="C228" s="58" t="s">
        <v>158</v>
      </c>
      <c r="D228" s="57" t="s">
        <v>151</v>
      </c>
      <c r="E228" s="49">
        <v>28000</v>
      </c>
      <c r="F228" s="49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23.25" customHeight="1" x14ac:dyDescent="0.2">
      <c r="A229" s="52" t="s">
        <v>211</v>
      </c>
      <c r="B229" s="52" t="s">
        <v>405</v>
      </c>
      <c r="C229" s="58" t="s">
        <v>158</v>
      </c>
      <c r="D229" s="57" t="s">
        <v>151</v>
      </c>
      <c r="E229" s="49">
        <v>28000</v>
      </c>
      <c r="F229" s="49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23.25" customHeight="1" x14ac:dyDescent="0.2">
      <c r="A230" s="52" t="s">
        <v>406</v>
      </c>
      <c r="B230" s="52" t="s">
        <v>407</v>
      </c>
      <c r="C230" s="52" t="s">
        <v>154</v>
      </c>
      <c r="D230" s="57" t="s">
        <v>157</v>
      </c>
      <c r="E230" s="49">
        <v>44550</v>
      </c>
      <c r="F230" s="49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23.25" customHeight="1" x14ac:dyDescent="0.2">
      <c r="A231" s="52"/>
      <c r="B231" s="52" t="s">
        <v>408</v>
      </c>
      <c r="C231" s="52" t="s">
        <v>146</v>
      </c>
      <c r="D231" s="57" t="s">
        <v>108</v>
      </c>
      <c r="E231" s="49">
        <v>1500</v>
      </c>
      <c r="F231" s="49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23.25" customHeight="1" x14ac:dyDescent="0.2">
      <c r="A232" s="52"/>
      <c r="B232" s="52" t="s">
        <v>409</v>
      </c>
      <c r="C232" s="52" t="s">
        <v>171</v>
      </c>
      <c r="D232" s="57" t="s">
        <v>108</v>
      </c>
      <c r="E232" s="49">
        <v>1000</v>
      </c>
      <c r="F232" s="49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23.25" customHeight="1" x14ac:dyDescent="0.2">
      <c r="A233" s="52"/>
      <c r="B233" s="52" t="s">
        <v>410</v>
      </c>
      <c r="C233" s="52" t="s">
        <v>158</v>
      </c>
      <c r="D233" s="57" t="s">
        <v>108</v>
      </c>
      <c r="E233" s="49">
        <v>1200</v>
      </c>
      <c r="F233" s="49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23.25" customHeight="1" x14ac:dyDescent="0.2">
      <c r="A234" s="52"/>
      <c r="B234" s="52" t="s">
        <v>411</v>
      </c>
      <c r="C234" s="52" t="s">
        <v>171</v>
      </c>
      <c r="D234" s="57" t="s">
        <v>108</v>
      </c>
      <c r="E234" s="49">
        <v>1400</v>
      </c>
      <c r="F234" s="49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23.25" customHeight="1" x14ac:dyDescent="0.2">
      <c r="A235" s="52"/>
      <c r="B235" s="52" t="s">
        <v>412</v>
      </c>
      <c r="C235" s="52" t="s">
        <v>158</v>
      </c>
      <c r="D235" s="57" t="s">
        <v>108</v>
      </c>
      <c r="E235" s="49">
        <v>2000</v>
      </c>
      <c r="F235" s="49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23.25" customHeight="1" x14ac:dyDescent="0.2">
      <c r="A236" s="52"/>
      <c r="B236" s="52" t="s">
        <v>413</v>
      </c>
      <c r="C236" s="58" t="s">
        <v>158</v>
      </c>
      <c r="D236" s="57" t="s">
        <v>108</v>
      </c>
      <c r="E236" s="50">
        <v>1200</v>
      </c>
      <c r="F236" s="49">
        <v>1600</v>
      </c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23.25" customHeight="1" x14ac:dyDescent="0.2">
      <c r="A237" s="58"/>
      <c r="B237" s="58" t="s">
        <v>414</v>
      </c>
      <c r="C237" s="58" t="s">
        <v>148</v>
      </c>
      <c r="D237" s="57" t="s">
        <v>108</v>
      </c>
      <c r="E237" s="50">
        <v>1600</v>
      </c>
      <c r="F237" s="49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23.25" customHeight="1" x14ac:dyDescent="0.2">
      <c r="A238" s="52"/>
      <c r="B238" s="52" t="s">
        <v>415</v>
      </c>
      <c r="C238" s="52" t="s">
        <v>144</v>
      </c>
      <c r="D238" s="57" t="s">
        <v>108</v>
      </c>
      <c r="E238" s="49">
        <v>1700</v>
      </c>
      <c r="F238" s="49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23.25" customHeight="1" x14ac:dyDescent="0.2">
      <c r="A239" s="52"/>
      <c r="B239" s="52" t="s">
        <v>416</v>
      </c>
      <c r="C239" s="52" t="s">
        <v>148</v>
      </c>
      <c r="D239" s="57" t="s">
        <v>108</v>
      </c>
      <c r="E239" s="49">
        <v>800</v>
      </c>
      <c r="F239" s="49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23.25" customHeight="1" x14ac:dyDescent="0.2">
      <c r="A240" s="52"/>
      <c r="B240" s="52" t="s">
        <v>417</v>
      </c>
      <c r="C240" s="52" t="s">
        <v>146</v>
      </c>
      <c r="D240" s="57" t="s">
        <v>157</v>
      </c>
      <c r="E240" s="49">
        <v>1500</v>
      </c>
      <c r="F240" s="49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23.25" customHeight="1" x14ac:dyDescent="0.2">
      <c r="A241" s="52"/>
      <c r="B241" s="52" t="s">
        <v>417</v>
      </c>
      <c r="C241" s="52"/>
      <c r="D241" s="57" t="s">
        <v>133</v>
      </c>
      <c r="E241" s="50"/>
      <c r="F241" s="49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23.25" customHeight="1" x14ac:dyDescent="0.2">
      <c r="A242" s="52"/>
      <c r="B242" s="52" t="s">
        <v>418</v>
      </c>
      <c r="C242" s="58" t="s">
        <v>128</v>
      </c>
      <c r="D242" s="57" t="s">
        <v>108</v>
      </c>
      <c r="E242" s="50">
        <v>4600</v>
      </c>
      <c r="F242" s="49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23.25" customHeight="1" x14ac:dyDescent="0.2">
      <c r="A243" s="52"/>
      <c r="B243" s="52" t="s">
        <v>418</v>
      </c>
      <c r="C243" s="58" t="s">
        <v>134</v>
      </c>
      <c r="D243" s="57" t="s">
        <v>108</v>
      </c>
      <c r="E243" s="50">
        <v>5800</v>
      </c>
      <c r="F243" s="49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23.25" customHeight="1" x14ac:dyDescent="0.2">
      <c r="A244" s="52"/>
      <c r="B244" s="52" t="s">
        <v>418</v>
      </c>
      <c r="C244" s="58" t="s">
        <v>146</v>
      </c>
      <c r="D244" s="57" t="s">
        <v>133</v>
      </c>
      <c r="E244" s="50">
        <v>5300</v>
      </c>
      <c r="F244" s="49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23.25" customHeight="1" x14ac:dyDescent="0.2">
      <c r="A245" s="52"/>
      <c r="B245" s="52" t="s">
        <v>419</v>
      </c>
      <c r="C245" s="52" t="s">
        <v>146</v>
      </c>
      <c r="D245" s="57" t="s">
        <v>108</v>
      </c>
      <c r="E245" s="49">
        <v>250</v>
      </c>
      <c r="F245" s="49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23.25" customHeight="1" x14ac:dyDescent="0.2">
      <c r="A246" s="52" t="s">
        <v>420</v>
      </c>
      <c r="B246" s="52" t="s">
        <v>421</v>
      </c>
      <c r="C246" s="52" t="s">
        <v>158</v>
      </c>
      <c r="D246" s="57" t="s">
        <v>129</v>
      </c>
      <c r="E246" s="50">
        <v>9500</v>
      </c>
      <c r="F246" s="49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23.25" customHeight="1" x14ac:dyDescent="0.2">
      <c r="A247" s="52"/>
      <c r="B247" s="52" t="s">
        <v>422</v>
      </c>
      <c r="C247" s="52" t="s">
        <v>93</v>
      </c>
      <c r="D247" s="57" t="s">
        <v>159</v>
      </c>
      <c r="E247" s="49">
        <v>2500</v>
      </c>
      <c r="F247" s="49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23.25" customHeight="1" x14ac:dyDescent="0.2">
      <c r="A248" s="52"/>
      <c r="B248" s="52" t="s">
        <v>423</v>
      </c>
      <c r="C248" s="52" t="s">
        <v>158</v>
      </c>
      <c r="D248" s="57" t="s">
        <v>108</v>
      </c>
      <c r="E248" s="49">
        <v>1600</v>
      </c>
      <c r="F248" s="49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23.25" customHeight="1" x14ac:dyDescent="0.2">
      <c r="A249" s="52"/>
      <c r="B249" s="52" t="s">
        <v>424</v>
      </c>
      <c r="C249" s="52" t="s">
        <v>171</v>
      </c>
      <c r="D249" s="57" t="s">
        <v>108</v>
      </c>
      <c r="E249" s="49">
        <v>2000</v>
      </c>
      <c r="F249" s="49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23.25" customHeight="1" x14ac:dyDescent="0.2">
      <c r="A250" s="52"/>
      <c r="B250" s="52" t="s">
        <v>425</v>
      </c>
      <c r="C250" s="52" t="s">
        <v>171</v>
      </c>
      <c r="D250" s="57" t="s">
        <v>108</v>
      </c>
      <c r="E250" s="49">
        <v>1500</v>
      </c>
      <c r="F250" s="49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23.25" customHeight="1" x14ac:dyDescent="0.2">
      <c r="A251" s="52"/>
      <c r="B251" s="52" t="s">
        <v>426</v>
      </c>
      <c r="C251" s="52" t="s">
        <v>171</v>
      </c>
      <c r="D251" s="57" t="s">
        <v>108</v>
      </c>
      <c r="E251" s="49">
        <v>1500</v>
      </c>
      <c r="F251" s="49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23.25" customHeight="1" x14ac:dyDescent="0.2">
      <c r="A252" s="52"/>
      <c r="B252" s="52" t="s">
        <v>427</v>
      </c>
      <c r="C252" s="58" t="s">
        <v>146</v>
      </c>
      <c r="D252" s="57" t="s">
        <v>133</v>
      </c>
      <c r="E252" s="50">
        <v>2000</v>
      </c>
      <c r="F252" s="49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23.25" customHeight="1" x14ac:dyDescent="0.2">
      <c r="A253" s="52"/>
      <c r="B253" s="52" t="s">
        <v>428</v>
      </c>
      <c r="C253" s="52" t="s">
        <v>146</v>
      </c>
      <c r="D253" s="57" t="s">
        <v>108</v>
      </c>
      <c r="E253" s="49">
        <v>1200</v>
      </c>
      <c r="F253" s="49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23.25" customHeight="1" x14ac:dyDescent="0.2">
      <c r="A254" s="52"/>
      <c r="B254" s="52" t="s">
        <v>429</v>
      </c>
      <c r="C254" s="52" t="s">
        <v>146</v>
      </c>
      <c r="D254" s="57" t="s">
        <v>108</v>
      </c>
      <c r="E254" s="49">
        <v>1200</v>
      </c>
      <c r="F254" s="49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23.25" customHeight="1" x14ac:dyDescent="0.2">
      <c r="A255" s="52"/>
      <c r="B255" s="52" t="s">
        <v>430</v>
      </c>
      <c r="C255" s="52" t="s">
        <v>158</v>
      </c>
      <c r="D255" s="57" t="s">
        <v>108</v>
      </c>
      <c r="E255" s="49">
        <v>700</v>
      </c>
      <c r="F255" s="49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23.25" customHeight="1" x14ac:dyDescent="0.2">
      <c r="A256" s="52"/>
      <c r="B256" s="52" t="s">
        <v>430</v>
      </c>
      <c r="C256" s="52" t="s">
        <v>171</v>
      </c>
      <c r="D256" s="57" t="s">
        <v>108</v>
      </c>
      <c r="E256" s="49">
        <v>1100</v>
      </c>
      <c r="F256" s="49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23.25" customHeight="1" x14ac:dyDescent="0.2">
      <c r="A257" s="52"/>
      <c r="B257" s="52" t="s">
        <v>431</v>
      </c>
      <c r="C257" s="52" t="s">
        <v>158</v>
      </c>
      <c r="D257" s="57" t="s">
        <v>108</v>
      </c>
      <c r="E257" s="49">
        <v>2500</v>
      </c>
      <c r="F257" s="49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23.25" customHeight="1" x14ac:dyDescent="0.2">
      <c r="A258" s="58"/>
      <c r="B258" s="58" t="s">
        <v>432</v>
      </c>
      <c r="C258" s="58" t="s">
        <v>148</v>
      </c>
      <c r="D258" s="57" t="s">
        <v>108</v>
      </c>
      <c r="E258" s="50">
        <v>3800</v>
      </c>
      <c r="F258" s="49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23.25" customHeight="1" x14ac:dyDescent="0.2">
      <c r="A259" s="52"/>
      <c r="B259" s="64" t="s">
        <v>433</v>
      </c>
      <c r="C259" s="58" t="s">
        <v>158</v>
      </c>
      <c r="D259" s="57" t="s">
        <v>108</v>
      </c>
      <c r="E259" s="50">
        <v>1200</v>
      </c>
      <c r="F259" s="49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23.25" customHeight="1" x14ac:dyDescent="0.2">
      <c r="A260" s="52"/>
      <c r="B260" s="52" t="s">
        <v>434</v>
      </c>
      <c r="C260" s="58" t="s">
        <v>158</v>
      </c>
      <c r="D260" s="57" t="s">
        <v>108</v>
      </c>
      <c r="E260" s="50">
        <v>2800</v>
      </c>
      <c r="F260" s="49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23.25" customHeight="1" x14ac:dyDescent="0.2">
      <c r="A261" s="52"/>
      <c r="B261" s="52" t="s">
        <v>435</v>
      </c>
      <c r="C261" s="52" t="s">
        <v>158</v>
      </c>
      <c r="D261" s="57" t="s">
        <v>108</v>
      </c>
      <c r="E261" s="49">
        <v>2300</v>
      </c>
      <c r="F261" s="49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23.25" customHeight="1" x14ac:dyDescent="0.2">
      <c r="A262" s="52"/>
      <c r="B262" s="52" t="s">
        <v>436</v>
      </c>
      <c r="C262" s="52" t="s">
        <v>146</v>
      </c>
      <c r="D262" s="57" t="s">
        <v>133</v>
      </c>
      <c r="E262" s="49">
        <v>1600</v>
      </c>
      <c r="F262" s="49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23.25" customHeight="1" x14ac:dyDescent="0.2">
      <c r="A263" s="52"/>
      <c r="B263" s="52" t="s">
        <v>437</v>
      </c>
      <c r="C263" s="52" t="s">
        <v>172</v>
      </c>
      <c r="D263" s="57" t="s">
        <v>88</v>
      </c>
      <c r="E263" s="49">
        <v>1500</v>
      </c>
      <c r="F263" s="49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23.25" customHeight="1" x14ac:dyDescent="0.2">
      <c r="A264" s="52"/>
      <c r="B264" s="52" t="s">
        <v>438</v>
      </c>
      <c r="C264" s="52" t="s">
        <v>162</v>
      </c>
      <c r="D264" s="57" t="s">
        <v>133</v>
      </c>
      <c r="E264" s="50">
        <v>24000</v>
      </c>
      <c r="F264" s="49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23.25" customHeight="1" x14ac:dyDescent="0.2">
      <c r="A265" s="52"/>
      <c r="B265" s="52" t="s">
        <v>439</v>
      </c>
      <c r="C265" s="52" t="s">
        <v>158</v>
      </c>
      <c r="D265" s="57" t="s">
        <v>108</v>
      </c>
      <c r="E265" s="50">
        <v>11500</v>
      </c>
      <c r="F265" s="49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23.25" customHeight="1" x14ac:dyDescent="0.2">
      <c r="A266" s="52"/>
      <c r="B266" s="52" t="s">
        <v>440</v>
      </c>
      <c r="C266" s="58" t="s">
        <v>146</v>
      </c>
      <c r="D266" s="57" t="s">
        <v>157</v>
      </c>
      <c r="E266" s="49">
        <v>1500</v>
      </c>
      <c r="F266" s="49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23.25" customHeight="1" x14ac:dyDescent="0.2">
      <c r="A267" s="52"/>
      <c r="B267" s="52" t="s">
        <v>441</v>
      </c>
      <c r="C267" s="52"/>
      <c r="D267" s="57" t="s">
        <v>108</v>
      </c>
      <c r="E267" s="50"/>
      <c r="F267" s="49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23.25" customHeight="1" x14ac:dyDescent="0.2">
      <c r="A268" s="52"/>
      <c r="B268" s="52" t="s">
        <v>442</v>
      </c>
      <c r="C268" s="52" t="s">
        <v>158</v>
      </c>
      <c r="D268" s="57" t="s">
        <v>123</v>
      </c>
      <c r="E268" s="49">
        <v>17500</v>
      </c>
      <c r="F268" s="49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23.25" customHeight="1" x14ac:dyDescent="0.2">
      <c r="A269" s="52"/>
      <c r="B269" s="52" t="s">
        <v>443</v>
      </c>
      <c r="C269" s="52" t="s">
        <v>144</v>
      </c>
      <c r="D269" s="57" t="s">
        <v>108</v>
      </c>
      <c r="E269" s="49">
        <v>30</v>
      </c>
      <c r="F269" s="49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23.25" customHeight="1" x14ac:dyDescent="0.2">
      <c r="A270" s="52"/>
      <c r="B270" s="52" t="s">
        <v>444</v>
      </c>
      <c r="C270" s="52"/>
      <c r="D270" s="57" t="s">
        <v>157</v>
      </c>
      <c r="E270" s="50"/>
      <c r="F270" s="49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23.25" customHeight="1" x14ac:dyDescent="0.2">
      <c r="A271" s="52"/>
      <c r="B271" s="52" t="s">
        <v>445</v>
      </c>
      <c r="C271" s="58"/>
      <c r="D271" s="59"/>
      <c r="E271" s="50"/>
      <c r="F271" s="49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23.25" customHeight="1" x14ac:dyDescent="0.2">
      <c r="A272" s="52"/>
      <c r="B272" s="52" t="s">
        <v>446</v>
      </c>
      <c r="C272" s="52" t="s">
        <v>162</v>
      </c>
      <c r="D272" s="57" t="s">
        <v>129</v>
      </c>
      <c r="E272" s="49">
        <v>4900</v>
      </c>
      <c r="F272" s="49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23.25" customHeight="1" x14ac:dyDescent="0.2">
      <c r="A273" s="52"/>
      <c r="B273" s="52" t="s">
        <v>447</v>
      </c>
      <c r="C273" s="52" t="s">
        <v>136</v>
      </c>
      <c r="D273" s="57" t="s">
        <v>108</v>
      </c>
      <c r="E273" s="49">
        <v>780</v>
      </c>
      <c r="F273" s="49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23.25" customHeight="1" x14ac:dyDescent="0.2">
      <c r="A274" s="52"/>
      <c r="B274" s="52" t="s">
        <v>448</v>
      </c>
      <c r="C274" s="52" t="s">
        <v>176</v>
      </c>
      <c r="D274" s="57" t="s">
        <v>151</v>
      </c>
      <c r="E274" s="49">
        <v>1885</v>
      </c>
      <c r="F274" s="49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23.25" customHeight="1" x14ac:dyDescent="0.2">
      <c r="A275" s="52"/>
      <c r="B275" s="52" t="s">
        <v>449</v>
      </c>
      <c r="C275" s="52" t="s">
        <v>169</v>
      </c>
      <c r="D275" s="57" t="s">
        <v>108</v>
      </c>
      <c r="E275" s="49">
        <v>690</v>
      </c>
      <c r="F275" s="49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23.25" customHeight="1" x14ac:dyDescent="0.2">
      <c r="A276" s="52"/>
      <c r="B276" s="52" t="s">
        <v>450</v>
      </c>
      <c r="C276" s="52" t="s">
        <v>176</v>
      </c>
      <c r="D276" s="57" t="s">
        <v>151</v>
      </c>
      <c r="E276" s="49">
        <v>1780</v>
      </c>
      <c r="F276" s="49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23.25" customHeight="1" x14ac:dyDescent="0.2">
      <c r="A277" s="52"/>
      <c r="B277" s="52" t="s">
        <v>451</v>
      </c>
      <c r="C277" s="52" t="s">
        <v>144</v>
      </c>
      <c r="D277" s="57" t="s">
        <v>153</v>
      </c>
      <c r="E277" s="49">
        <v>1550</v>
      </c>
      <c r="F277" s="49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23.25" customHeight="1" x14ac:dyDescent="0.2">
      <c r="A278" s="52"/>
      <c r="B278" s="52" t="s">
        <v>452</v>
      </c>
      <c r="C278" s="52" t="s">
        <v>93</v>
      </c>
      <c r="D278" s="57" t="s">
        <v>159</v>
      </c>
      <c r="E278" s="49">
        <v>1900</v>
      </c>
      <c r="F278" s="49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23.25" customHeight="1" x14ac:dyDescent="0.2">
      <c r="A279" s="52"/>
      <c r="B279" s="52" t="s">
        <v>453</v>
      </c>
      <c r="C279" s="58"/>
      <c r="D279" s="59"/>
      <c r="E279" s="50"/>
      <c r="F279" s="49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23.25" customHeight="1" x14ac:dyDescent="0.2">
      <c r="A280" s="52"/>
      <c r="B280" s="52" t="s">
        <v>454</v>
      </c>
      <c r="C280" s="52" t="s">
        <v>158</v>
      </c>
      <c r="D280" s="57" t="s">
        <v>108</v>
      </c>
      <c r="E280" s="50">
        <v>2000</v>
      </c>
      <c r="F280" s="49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23.25" customHeight="1" x14ac:dyDescent="0.2">
      <c r="A281" s="52" t="s">
        <v>455</v>
      </c>
      <c r="B281" s="52" t="s">
        <v>456</v>
      </c>
      <c r="C281" s="52"/>
      <c r="D281" s="57" t="s">
        <v>120</v>
      </c>
      <c r="E281" s="50"/>
      <c r="F281" s="49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23.25" customHeight="1" x14ac:dyDescent="0.2">
      <c r="A282" s="52"/>
      <c r="B282" s="52" t="s">
        <v>457</v>
      </c>
      <c r="C282" s="52" t="s">
        <v>146</v>
      </c>
      <c r="D282" s="57" t="s">
        <v>129</v>
      </c>
      <c r="E282" s="49">
        <v>500</v>
      </c>
      <c r="F282" s="49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23.25" customHeight="1" x14ac:dyDescent="0.2">
      <c r="A283" s="52"/>
      <c r="B283" s="52" t="s">
        <v>457</v>
      </c>
      <c r="C283" s="52" t="s">
        <v>158</v>
      </c>
      <c r="D283" s="57" t="s">
        <v>129</v>
      </c>
      <c r="E283" s="49">
        <v>900</v>
      </c>
      <c r="F283" s="49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23.25" customHeight="1" x14ac:dyDescent="0.2">
      <c r="A284" s="52"/>
      <c r="B284" s="52" t="s">
        <v>457</v>
      </c>
      <c r="C284" s="58" t="s">
        <v>158</v>
      </c>
      <c r="D284" s="57" t="s">
        <v>149</v>
      </c>
      <c r="E284" s="50">
        <v>1200</v>
      </c>
      <c r="F284" s="49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23.25" customHeight="1" x14ac:dyDescent="0.2">
      <c r="A285" s="52" t="s">
        <v>458</v>
      </c>
      <c r="B285" s="52" t="s">
        <v>459</v>
      </c>
      <c r="C285" s="52" t="s">
        <v>158</v>
      </c>
      <c r="D285" s="57" t="s">
        <v>157</v>
      </c>
      <c r="E285" s="49">
        <v>2000</v>
      </c>
      <c r="F285" s="49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23.25" customHeight="1" x14ac:dyDescent="0.2">
      <c r="A286" s="52"/>
      <c r="B286" s="52" t="s">
        <v>460</v>
      </c>
      <c r="C286" s="52" t="s">
        <v>174</v>
      </c>
      <c r="D286" s="57" t="s">
        <v>108</v>
      </c>
      <c r="E286" s="49">
        <v>100</v>
      </c>
      <c r="F286" s="49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23.25" customHeight="1" x14ac:dyDescent="0.2">
      <c r="A287" s="52"/>
      <c r="B287" s="52" t="s">
        <v>460</v>
      </c>
      <c r="C287" s="52" t="s">
        <v>174</v>
      </c>
      <c r="D287" s="57" t="s">
        <v>108</v>
      </c>
      <c r="E287" s="49">
        <v>165</v>
      </c>
      <c r="F287" s="49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23.25" customHeight="1" x14ac:dyDescent="0.2">
      <c r="A288" s="52"/>
      <c r="B288" s="52" t="s">
        <v>461</v>
      </c>
      <c r="C288" s="52" t="s">
        <v>156</v>
      </c>
      <c r="D288" s="57" t="s">
        <v>137</v>
      </c>
      <c r="E288" s="49">
        <v>90</v>
      </c>
      <c r="F288" s="49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23.25" customHeight="1" x14ac:dyDescent="0.2">
      <c r="A289" s="52"/>
      <c r="B289" s="52" t="s">
        <v>462</v>
      </c>
      <c r="C289" s="52" t="s">
        <v>158</v>
      </c>
      <c r="D289" s="57" t="s">
        <v>155</v>
      </c>
      <c r="E289" s="49">
        <v>2500</v>
      </c>
      <c r="F289" s="49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23.25" customHeight="1" x14ac:dyDescent="0.2">
      <c r="A290" s="52"/>
      <c r="B290" s="52" t="s">
        <v>463</v>
      </c>
      <c r="C290" s="58" t="s">
        <v>158</v>
      </c>
      <c r="D290" s="57"/>
      <c r="E290" s="49"/>
      <c r="F290" s="49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23.25" customHeight="1" x14ac:dyDescent="0.2">
      <c r="A291" s="52"/>
      <c r="B291" s="52" t="s">
        <v>464</v>
      </c>
      <c r="C291" s="58" t="s">
        <v>116</v>
      </c>
      <c r="D291" s="57" t="s">
        <v>147</v>
      </c>
      <c r="E291" s="50">
        <v>5000</v>
      </c>
      <c r="F291" s="49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23.25" customHeight="1" x14ac:dyDescent="0.2">
      <c r="A292" s="52"/>
      <c r="B292" s="52" t="s">
        <v>465</v>
      </c>
      <c r="C292" s="52" t="s">
        <v>93</v>
      </c>
      <c r="D292" s="57" t="s">
        <v>159</v>
      </c>
      <c r="E292" s="49">
        <v>2200</v>
      </c>
      <c r="F292" s="49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23.25" customHeight="1" x14ac:dyDescent="0.2">
      <c r="A293" s="52"/>
      <c r="B293" s="52" t="s">
        <v>466</v>
      </c>
      <c r="C293" s="52" t="s">
        <v>148</v>
      </c>
      <c r="D293" s="57" t="s">
        <v>129</v>
      </c>
      <c r="E293" s="49">
        <v>850</v>
      </c>
      <c r="F293" s="49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23.25" customHeight="1" x14ac:dyDescent="0.2">
      <c r="A294" s="52"/>
      <c r="B294" s="52" t="s">
        <v>467</v>
      </c>
      <c r="C294" s="52" t="s">
        <v>158</v>
      </c>
      <c r="D294" s="57" t="s">
        <v>108</v>
      </c>
      <c r="E294" s="49">
        <v>2300</v>
      </c>
      <c r="F294" s="49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23.25" customHeight="1" x14ac:dyDescent="0.2">
      <c r="A295" s="52" t="s">
        <v>468</v>
      </c>
      <c r="B295" s="52" t="s">
        <v>467</v>
      </c>
      <c r="C295" s="58" t="s">
        <v>158</v>
      </c>
      <c r="D295" s="57" t="s">
        <v>133</v>
      </c>
      <c r="E295" s="50">
        <v>9000</v>
      </c>
      <c r="F295" s="49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23.25" customHeight="1" x14ac:dyDescent="0.2">
      <c r="A296" s="52"/>
      <c r="B296" s="52" t="s">
        <v>469</v>
      </c>
      <c r="C296" s="52"/>
      <c r="D296" s="57" t="s">
        <v>120</v>
      </c>
      <c r="E296" s="50"/>
      <c r="F296" s="49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23.25" customHeight="1" x14ac:dyDescent="0.2">
      <c r="A297" s="52"/>
      <c r="B297" s="52" t="s">
        <v>470</v>
      </c>
      <c r="C297" s="58" t="s">
        <v>158</v>
      </c>
      <c r="D297" s="57" t="s">
        <v>108</v>
      </c>
      <c r="E297" s="49">
        <v>1800</v>
      </c>
      <c r="F297" s="49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23.25" customHeight="1" x14ac:dyDescent="0.2">
      <c r="A298" s="52"/>
      <c r="B298" s="52" t="s">
        <v>471</v>
      </c>
      <c r="C298" s="58" t="s">
        <v>158</v>
      </c>
      <c r="D298" s="57" t="s">
        <v>129</v>
      </c>
      <c r="E298" s="49">
        <v>500</v>
      </c>
      <c r="F298" s="49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23.25" customHeight="1" x14ac:dyDescent="0.2">
      <c r="A299" s="52"/>
      <c r="B299" s="52" t="s">
        <v>472</v>
      </c>
      <c r="C299" s="58" t="s">
        <v>116</v>
      </c>
      <c r="D299" s="57" t="s">
        <v>108</v>
      </c>
      <c r="E299" s="50">
        <v>450</v>
      </c>
      <c r="F299" s="49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23.25" customHeight="1" x14ac:dyDescent="0.2">
      <c r="A300" s="52"/>
      <c r="B300" s="52" t="s">
        <v>472</v>
      </c>
      <c r="C300" s="52" t="s">
        <v>160</v>
      </c>
      <c r="D300" s="57" t="s">
        <v>108</v>
      </c>
      <c r="E300" s="49">
        <v>500</v>
      </c>
      <c r="F300" s="49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23.25" customHeight="1" x14ac:dyDescent="0.2">
      <c r="A301" s="52"/>
      <c r="B301" s="52" t="s">
        <v>473</v>
      </c>
      <c r="C301" s="52" t="s">
        <v>152</v>
      </c>
      <c r="D301" s="57" t="s">
        <v>108</v>
      </c>
      <c r="E301" s="50">
        <v>190</v>
      </c>
      <c r="F301" s="49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23.25" customHeight="1" x14ac:dyDescent="0.2">
      <c r="A302" s="52"/>
      <c r="B302" s="52" t="s">
        <v>474</v>
      </c>
      <c r="C302" s="52" t="s">
        <v>475</v>
      </c>
      <c r="D302" s="57" t="s">
        <v>151</v>
      </c>
      <c r="E302" s="49">
        <v>1950</v>
      </c>
      <c r="F302" s="49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23.25" customHeight="1" x14ac:dyDescent="0.2">
      <c r="A303" s="52"/>
      <c r="B303" s="52" t="s">
        <v>476</v>
      </c>
      <c r="C303" s="52" t="s">
        <v>158</v>
      </c>
      <c r="D303" s="57" t="s">
        <v>108</v>
      </c>
      <c r="E303" s="49">
        <v>1400</v>
      </c>
      <c r="F303" s="49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23.25" customHeight="1" x14ac:dyDescent="0.2">
      <c r="A304" s="52"/>
      <c r="B304" s="52" t="s">
        <v>477</v>
      </c>
      <c r="C304" s="52" t="s">
        <v>176</v>
      </c>
      <c r="D304" s="57" t="s">
        <v>151</v>
      </c>
      <c r="E304" s="49">
        <v>1485</v>
      </c>
      <c r="F304" s="49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23.25" customHeight="1" x14ac:dyDescent="0.2">
      <c r="A305" s="52"/>
      <c r="B305" s="52" t="s">
        <v>478</v>
      </c>
      <c r="C305" s="52" t="s">
        <v>158</v>
      </c>
      <c r="D305" s="57" t="s">
        <v>133</v>
      </c>
      <c r="E305" s="49">
        <v>20500</v>
      </c>
      <c r="F305" s="49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23.25" customHeight="1" x14ac:dyDescent="0.2">
      <c r="A306" s="52"/>
      <c r="B306" s="52" t="s">
        <v>479</v>
      </c>
      <c r="C306" s="58" t="s">
        <v>148</v>
      </c>
      <c r="D306" s="57" t="s">
        <v>108</v>
      </c>
      <c r="E306" s="50">
        <v>8200</v>
      </c>
      <c r="F306" s="49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23.25" customHeight="1" x14ac:dyDescent="0.2">
      <c r="A307" s="52"/>
      <c r="B307" s="52" t="s">
        <v>480</v>
      </c>
      <c r="C307" s="52" t="s">
        <v>158</v>
      </c>
      <c r="D307" s="57" t="s">
        <v>108</v>
      </c>
      <c r="E307" s="49">
        <v>2000</v>
      </c>
      <c r="F307" s="49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23.25" customHeight="1" x14ac:dyDescent="0.2">
      <c r="A308" s="52"/>
      <c r="B308" s="52" t="s">
        <v>481</v>
      </c>
      <c r="C308" s="52" t="s">
        <v>158</v>
      </c>
      <c r="D308" s="57" t="s">
        <v>108</v>
      </c>
      <c r="E308" s="49">
        <v>2800</v>
      </c>
      <c r="F308" s="49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23.25" customHeight="1" x14ac:dyDescent="0.2">
      <c r="A309" s="52" t="s">
        <v>482</v>
      </c>
      <c r="B309" s="52" t="s">
        <v>481</v>
      </c>
      <c r="C309" s="52" t="s">
        <v>158</v>
      </c>
      <c r="D309" s="57" t="s">
        <v>126</v>
      </c>
      <c r="E309" s="49">
        <v>4300</v>
      </c>
      <c r="F309" s="49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23.25" customHeight="1" x14ac:dyDescent="0.2">
      <c r="A310" s="52" t="s">
        <v>483</v>
      </c>
      <c r="B310" s="52" t="s">
        <v>481</v>
      </c>
      <c r="C310" s="52" t="s">
        <v>158</v>
      </c>
      <c r="D310" s="57" t="s">
        <v>141</v>
      </c>
      <c r="E310" s="50">
        <v>32000</v>
      </c>
      <c r="F310" s="49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23.25" customHeight="1" x14ac:dyDescent="0.2">
      <c r="A311" s="52"/>
      <c r="B311" s="52" t="s">
        <v>484</v>
      </c>
      <c r="C311" s="58" t="s">
        <v>148</v>
      </c>
      <c r="D311" s="57" t="s">
        <v>129</v>
      </c>
      <c r="E311" s="49">
        <v>550</v>
      </c>
      <c r="F311" s="49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23.25" customHeight="1" x14ac:dyDescent="0.2">
      <c r="A312" s="56"/>
      <c r="B312" s="52" t="s">
        <v>485</v>
      </c>
      <c r="C312" s="52" t="s">
        <v>158</v>
      </c>
      <c r="D312" s="52" t="s">
        <v>108</v>
      </c>
      <c r="E312" s="49">
        <v>1500</v>
      </c>
      <c r="F312" s="65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23.25" customHeight="1" x14ac:dyDescent="0.2">
      <c r="A313" s="52"/>
      <c r="B313" s="52" t="s">
        <v>486</v>
      </c>
      <c r="C313" s="58"/>
      <c r="D313" s="59"/>
      <c r="E313" s="50"/>
      <c r="F313" s="49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23.25" customHeight="1" x14ac:dyDescent="0.2">
      <c r="A314" s="52" t="s">
        <v>487</v>
      </c>
      <c r="B314" s="52" t="s">
        <v>488</v>
      </c>
      <c r="C314" s="52" t="s">
        <v>158</v>
      </c>
      <c r="D314" s="57" t="s">
        <v>129</v>
      </c>
      <c r="E314" s="49">
        <v>58000</v>
      </c>
      <c r="F314" s="49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23.25" customHeight="1" x14ac:dyDescent="0.2">
      <c r="A315" s="52"/>
      <c r="B315" s="52" t="s">
        <v>489</v>
      </c>
      <c r="C315" s="58" t="s">
        <v>158</v>
      </c>
      <c r="D315" s="57" t="s">
        <v>108</v>
      </c>
      <c r="E315" s="50">
        <v>2800</v>
      </c>
      <c r="F315" s="49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23.25" customHeight="1" x14ac:dyDescent="0.2">
      <c r="A316" s="52" t="s">
        <v>490</v>
      </c>
      <c r="B316" s="52" t="s">
        <v>489</v>
      </c>
      <c r="C316" s="52" t="s">
        <v>162</v>
      </c>
      <c r="D316" s="57" t="s">
        <v>147</v>
      </c>
      <c r="E316" s="49">
        <v>6100</v>
      </c>
      <c r="F316" s="50">
        <v>6400</v>
      </c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23.25" customHeight="1" x14ac:dyDescent="0.2">
      <c r="A317" s="52" t="s">
        <v>491</v>
      </c>
      <c r="B317" s="52" t="s">
        <v>489</v>
      </c>
      <c r="C317" s="52"/>
      <c r="D317" s="57" t="s">
        <v>117</v>
      </c>
      <c r="E317" s="50"/>
      <c r="F317" s="49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23.25" customHeight="1" x14ac:dyDescent="0.2">
      <c r="A318" s="52"/>
      <c r="B318" s="52" t="s">
        <v>492</v>
      </c>
      <c r="C318" s="52" t="s">
        <v>166</v>
      </c>
      <c r="D318" s="57" t="s">
        <v>108</v>
      </c>
      <c r="E318" s="49">
        <v>2000</v>
      </c>
      <c r="F318" s="49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23.25" customHeight="1" x14ac:dyDescent="0.2">
      <c r="A319" s="52"/>
      <c r="B319" s="52" t="s">
        <v>493</v>
      </c>
      <c r="C319" s="58" t="s">
        <v>146</v>
      </c>
      <c r="D319" s="57" t="s">
        <v>129</v>
      </c>
      <c r="E319" s="49">
        <v>580</v>
      </c>
      <c r="F319" s="49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23.25" customHeight="1" x14ac:dyDescent="0.2">
      <c r="A320" s="52"/>
      <c r="B320" s="52" t="s">
        <v>493</v>
      </c>
      <c r="C320" s="52" t="s">
        <v>171</v>
      </c>
      <c r="D320" s="57" t="s">
        <v>129</v>
      </c>
      <c r="E320" s="49">
        <v>850</v>
      </c>
      <c r="F320" s="49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23.25" customHeight="1" x14ac:dyDescent="0.2">
      <c r="A321" s="62">
        <v>0.2</v>
      </c>
      <c r="B321" s="52" t="s">
        <v>494</v>
      </c>
      <c r="C321" s="52" t="s">
        <v>110</v>
      </c>
      <c r="D321" s="52" t="s">
        <v>137</v>
      </c>
      <c r="E321" s="49">
        <v>2250</v>
      </c>
      <c r="F321" s="49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23.25" customHeight="1" x14ac:dyDescent="0.2">
      <c r="A322" s="52"/>
      <c r="B322" s="52" t="s">
        <v>494</v>
      </c>
      <c r="C322" s="58" t="s">
        <v>148</v>
      </c>
      <c r="D322" s="57" t="s">
        <v>108</v>
      </c>
      <c r="E322" s="50">
        <v>950</v>
      </c>
      <c r="F322" s="49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23.25" customHeight="1" x14ac:dyDescent="0.2">
      <c r="A323" s="52"/>
      <c r="B323" s="52" t="s">
        <v>494</v>
      </c>
      <c r="C323" s="52" t="s">
        <v>164</v>
      </c>
      <c r="D323" s="52" t="s">
        <v>108</v>
      </c>
      <c r="E323" s="49">
        <v>800</v>
      </c>
      <c r="F323" s="49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23.25" customHeight="1" x14ac:dyDescent="0.2">
      <c r="A324" s="52"/>
      <c r="B324" s="52" t="s">
        <v>495</v>
      </c>
      <c r="C324" s="52"/>
      <c r="D324" s="57" t="s">
        <v>108</v>
      </c>
      <c r="E324" s="50"/>
      <c r="F324" s="49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23.25" customHeight="1" x14ac:dyDescent="0.2">
      <c r="A325" s="52"/>
      <c r="B325" s="52" t="s">
        <v>496</v>
      </c>
      <c r="C325" s="52" t="s">
        <v>102</v>
      </c>
      <c r="D325" s="57" t="s">
        <v>139</v>
      </c>
      <c r="E325" s="50">
        <v>1000</v>
      </c>
      <c r="F325" s="49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23.25" customHeight="1" x14ac:dyDescent="0.2">
      <c r="A326" s="52"/>
      <c r="B326" s="52" t="s">
        <v>496</v>
      </c>
      <c r="C326" s="52"/>
      <c r="D326" s="57" t="s">
        <v>94</v>
      </c>
      <c r="E326" s="50"/>
      <c r="F326" s="49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23.25" customHeight="1" x14ac:dyDescent="0.2">
      <c r="A327" s="62">
        <v>0.2</v>
      </c>
      <c r="B327" s="52" t="s">
        <v>497</v>
      </c>
      <c r="C327" s="52" t="s">
        <v>110</v>
      </c>
      <c r="D327" s="52" t="s">
        <v>137</v>
      </c>
      <c r="E327" s="49">
        <v>2250</v>
      </c>
      <c r="F327" s="49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23.25" customHeight="1" x14ac:dyDescent="0.2">
      <c r="A328" s="52"/>
      <c r="B328" s="52" t="s">
        <v>498</v>
      </c>
      <c r="C328" s="52" t="s">
        <v>162</v>
      </c>
      <c r="D328" s="57" t="s">
        <v>133</v>
      </c>
      <c r="E328" s="49">
        <v>24000</v>
      </c>
      <c r="F328" s="49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23.25" customHeight="1" x14ac:dyDescent="0.2">
      <c r="A329" s="52"/>
      <c r="B329" s="52" t="s">
        <v>36</v>
      </c>
      <c r="C329" s="52"/>
      <c r="D329" s="57"/>
      <c r="E329" s="49"/>
      <c r="F329" s="49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23.25" customHeight="1" x14ac:dyDescent="0.2">
      <c r="A330" s="52"/>
      <c r="B330" s="52" t="s">
        <v>499</v>
      </c>
      <c r="C330" s="52" t="s">
        <v>158</v>
      </c>
      <c r="D330" s="57" t="s">
        <v>94</v>
      </c>
      <c r="E330" s="49">
        <v>1500</v>
      </c>
      <c r="F330" s="49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23.25" customHeight="1" x14ac:dyDescent="0.2">
      <c r="A331" s="58"/>
      <c r="B331" s="58" t="s">
        <v>499</v>
      </c>
      <c r="C331" s="52" t="s">
        <v>158</v>
      </c>
      <c r="D331" s="57" t="s">
        <v>94</v>
      </c>
      <c r="E331" s="50">
        <v>2200</v>
      </c>
      <c r="F331" s="49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23.25" customHeight="1" x14ac:dyDescent="0.2">
      <c r="A332" s="52"/>
      <c r="B332" s="58" t="s">
        <v>499</v>
      </c>
      <c r="C332" s="52" t="s">
        <v>158</v>
      </c>
      <c r="D332" s="57" t="s">
        <v>94</v>
      </c>
      <c r="E332" s="49">
        <v>3300</v>
      </c>
      <c r="F332" s="49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23.25" customHeight="1" x14ac:dyDescent="0.2">
      <c r="A333" s="52"/>
      <c r="B333" s="52" t="s">
        <v>500</v>
      </c>
      <c r="C333" s="52" t="s">
        <v>501</v>
      </c>
      <c r="D333" s="57" t="s">
        <v>151</v>
      </c>
      <c r="E333" s="49">
        <v>1500</v>
      </c>
      <c r="F333" s="49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23.25" customHeight="1" x14ac:dyDescent="0.2">
      <c r="A334" s="52"/>
      <c r="B334" s="52" t="s">
        <v>500</v>
      </c>
      <c r="C334" s="52" t="s">
        <v>475</v>
      </c>
      <c r="D334" s="57" t="s">
        <v>151</v>
      </c>
      <c r="E334" s="49">
        <v>1800</v>
      </c>
      <c r="F334" s="49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23.25" customHeight="1" x14ac:dyDescent="0.2">
      <c r="A335" s="52"/>
      <c r="B335" s="52" t="s">
        <v>502</v>
      </c>
      <c r="C335" s="52" t="s">
        <v>224</v>
      </c>
      <c r="D335" s="57" t="s">
        <v>108</v>
      </c>
      <c r="E335" s="49">
        <v>1200</v>
      </c>
      <c r="F335" s="49">
        <v>1800</v>
      </c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23.25" customHeight="1" x14ac:dyDescent="0.2">
      <c r="A336" s="52"/>
      <c r="B336" s="52" t="s">
        <v>503</v>
      </c>
      <c r="C336" s="58" t="s">
        <v>158</v>
      </c>
      <c r="D336" s="57" t="s">
        <v>108</v>
      </c>
      <c r="E336" s="50">
        <v>2000</v>
      </c>
      <c r="F336" s="49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23.25" customHeight="1" x14ac:dyDescent="0.2">
      <c r="A337" s="52" t="s">
        <v>504</v>
      </c>
      <c r="B337" s="52" t="s">
        <v>505</v>
      </c>
      <c r="C337" s="52" t="s">
        <v>148</v>
      </c>
      <c r="D337" s="57" t="s">
        <v>129</v>
      </c>
      <c r="E337" s="49">
        <v>3000</v>
      </c>
      <c r="F337" s="49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23.25" customHeight="1" x14ac:dyDescent="0.2">
      <c r="A338" s="52"/>
      <c r="B338" s="52" t="s">
        <v>506</v>
      </c>
      <c r="C338" s="52"/>
      <c r="D338" s="57" t="s">
        <v>151</v>
      </c>
      <c r="E338" s="50"/>
      <c r="F338" s="49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23.25" customHeight="1" x14ac:dyDescent="0.2">
      <c r="A339" s="52" t="s">
        <v>507</v>
      </c>
      <c r="B339" s="52" t="s">
        <v>508</v>
      </c>
      <c r="C339" s="58" t="s">
        <v>158</v>
      </c>
      <c r="D339" s="57" t="s">
        <v>157</v>
      </c>
      <c r="E339" s="50">
        <v>18000</v>
      </c>
      <c r="F339" s="49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23.25" customHeight="1" x14ac:dyDescent="0.2">
      <c r="A340" s="52"/>
      <c r="B340" s="52" t="s">
        <v>509</v>
      </c>
      <c r="C340" s="58" t="s">
        <v>146</v>
      </c>
      <c r="D340" s="57" t="s">
        <v>108</v>
      </c>
      <c r="E340" s="49">
        <v>2500</v>
      </c>
      <c r="F340" s="49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23.25" customHeight="1" x14ac:dyDescent="0.2">
      <c r="A341" s="52"/>
      <c r="B341" s="52" t="s">
        <v>509</v>
      </c>
      <c r="C341" s="52" t="s">
        <v>146</v>
      </c>
      <c r="D341" s="57" t="s">
        <v>153</v>
      </c>
      <c r="E341" s="49">
        <v>2500</v>
      </c>
      <c r="F341" s="49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23.25" customHeight="1" x14ac:dyDescent="0.2">
      <c r="A342" s="52"/>
      <c r="B342" s="52" t="s">
        <v>510</v>
      </c>
      <c r="C342" s="52" t="s">
        <v>107</v>
      </c>
      <c r="D342" s="57" t="s">
        <v>157</v>
      </c>
      <c r="E342" s="49">
        <v>330</v>
      </c>
      <c r="F342" s="49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23.25" customHeight="1" x14ac:dyDescent="0.2">
      <c r="A343" s="52"/>
      <c r="B343" s="52" t="s">
        <v>511</v>
      </c>
      <c r="C343" s="52" t="s">
        <v>158</v>
      </c>
      <c r="D343" s="57" t="s">
        <v>149</v>
      </c>
      <c r="E343" s="49">
        <v>2500</v>
      </c>
      <c r="F343" s="49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23.25" customHeight="1" x14ac:dyDescent="0.2">
      <c r="A344" s="52"/>
      <c r="B344" s="52" t="s">
        <v>511</v>
      </c>
      <c r="C344" s="52"/>
      <c r="D344" s="57" t="s">
        <v>157</v>
      </c>
      <c r="E344" s="50"/>
      <c r="F344" s="49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23.25" customHeight="1" x14ac:dyDescent="0.2">
      <c r="A345" s="52" t="s">
        <v>512</v>
      </c>
      <c r="B345" s="52" t="s">
        <v>513</v>
      </c>
      <c r="C345" s="52" t="s">
        <v>514</v>
      </c>
      <c r="D345" s="57" t="s">
        <v>133</v>
      </c>
      <c r="E345" s="50">
        <v>77000</v>
      </c>
      <c r="F345" s="49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23.25" customHeight="1" x14ac:dyDescent="0.2">
      <c r="A346" s="62">
        <v>0.5</v>
      </c>
      <c r="B346" s="52" t="s">
        <v>515</v>
      </c>
      <c r="C346" s="52" t="s">
        <v>162</v>
      </c>
      <c r="D346" s="59" t="s">
        <v>131</v>
      </c>
      <c r="E346" s="50">
        <v>9800</v>
      </c>
      <c r="F346" s="49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23.25" customHeight="1" x14ac:dyDescent="0.2">
      <c r="A347" s="52"/>
      <c r="B347" s="52" t="s">
        <v>516</v>
      </c>
      <c r="C347" s="58" t="s">
        <v>158</v>
      </c>
      <c r="D347" s="59" t="s">
        <v>108</v>
      </c>
      <c r="E347" s="50">
        <v>1700</v>
      </c>
      <c r="F347" s="49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23.25" customHeight="1" x14ac:dyDescent="0.2">
      <c r="A348" s="52" t="s">
        <v>517</v>
      </c>
      <c r="B348" s="52" t="s">
        <v>518</v>
      </c>
      <c r="C348" s="58" t="s">
        <v>158</v>
      </c>
      <c r="D348" s="57" t="s">
        <v>133</v>
      </c>
      <c r="E348" s="50">
        <v>15000</v>
      </c>
      <c r="F348" s="49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23.25" customHeight="1" x14ac:dyDescent="0.2">
      <c r="A349" s="52"/>
      <c r="B349" s="52" t="s">
        <v>519</v>
      </c>
      <c r="C349" s="52" t="s">
        <v>158</v>
      </c>
      <c r="D349" s="57" t="s">
        <v>108</v>
      </c>
      <c r="E349" s="49">
        <v>3100</v>
      </c>
      <c r="F349" s="49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23.25" customHeight="1" x14ac:dyDescent="0.2">
      <c r="A350" s="52"/>
      <c r="B350" s="52" t="s">
        <v>520</v>
      </c>
      <c r="C350" s="52" t="s">
        <v>158</v>
      </c>
      <c r="D350" s="59"/>
      <c r="E350" s="49">
        <v>1600</v>
      </c>
      <c r="F350" s="49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23.25" customHeight="1" x14ac:dyDescent="0.2">
      <c r="A351" s="52"/>
      <c r="B351" s="52" t="s">
        <v>521</v>
      </c>
      <c r="C351" s="58" t="s">
        <v>158</v>
      </c>
      <c r="D351" s="57" t="s">
        <v>108</v>
      </c>
      <c r="E351" s="50">
        <v>1800</v>
      </c>
      <c r="F351" s="49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23.25" customHeight="1" x14ac:dyDescent="0.2">
      <c r="A352" s="58" t="s">
        <v>522</v>
      </c>
      <c r="B352" s="58" t="s">
        <v>523</v>
      </c>
      <c r="C352" s="58" t="s">
        <v>158</v>
      </c>
      <c r="D352" s="57" t="s">
        <v>133</v>
      </c>
      <c r="E352" s="50">
        <v>22800</v>
      </c>
      <c r="F352" s="49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23.25" customHeight="1" x14ac:dyDescent="0.2">
      <c r="A353" s="58"/>
      <c r="B353" s="58" t="s">
        <v>523</v>
      </c>
      <c r="C353" s="52" t="s">
        <v>166</v>
      </c>
      <c r="D353" s="57" t="s">
        <v>133</v>
      </c>
      <c r="E353" s="50">
        <v>4300</v>
      </c>
      <c r="F353" s="49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23.25" customHeight="1" x14ac:dyDescent="0.2">
      <c r="A354" s="52"/>
      <c r="B354" s="52" t="s">
        <v>524</v>
      </c>
      <c r="C354" s="58" t="s">
        <v>146</v>
      </c>
      <c r="D354" s="57" t="s">
        <v>153</v>
      </c>
      <c r="E354" s="49">
        <v>2000</v>
      </c>
      <c r="F354" s="49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23.25" customHeight="1" x14ac:dyDescent="0.2">
      <c r="A355" s="52"/>
      <c r="B355" s="52" t="s">
        <v>525</v>
      </c>
      <c r="C355" s="52" t="s">
        <v>174</v>
      </c>
      <c r="D355" s="52" t="s">
        <v>161</v>
      </c>
      <c r="E355" s="49">
        <v>115000</v>
      </c>
      <c r="F355" s="49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23.25" customHeight="1" x14ac:dyDescent="0.2">
      <c r="A356" s="52"/>
      <c r="B356" s="52" t="s">
        <v>526</v>
      </c>
      <c r="C356" s="58" t="s">
        <v>158</v>
      </c>
      <c r="D356" s="57" t="s">
        <v>133</v>
      </c>
      <c r="E356" s="50">
        <v>49500</v>
      </c>
      <c r="F356" s="49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23.25" customHeight="1" x14ac:dyDescent="0.2">
      <c r="A357" s="52"/>
      <c r="B357" s="52" t="s">
        <v>527</v>
      </c>
      <c r="C357" s="58" t="s">
        <v>148</v>
      </c>
      <c r="D357" s="57" t="s">
        <v>108</v>
      </c>
      <c r="E357" s="50">
        <v>4800</v>
      </c>
      <c r="F357" s="49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23.25" customHeight="1" x14ac:dyDescent="0.2">
      <c r="A358" s="52" t="s">
        <v>482</v>
      </c>
      <c r="B358" s="52" t="s">
        <v>528</v>
      </c>
      <c r="C358" s="58" t="s">
        <v>158</v>
      </c>
      <c r="D358" s="57" t="s">
        <v>126</v>
      </c>
      <c r="E358" s="50">
        <v>4300</v>
      </c>
      <c r="F358" s="49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23.25" customHeight="1" x14ac:dyDescent="0.2">
      <c r="A359" s="52"/>
      <c r="B359" s="52" t="s">
        <v>529</v>
      </c>
      <c r="C359" s="52" t="s">
        <v>224</v>
      </c>
      <c r="D359" s="57" t="s">
        <v>108</v>
      </c>
      <c r="E359" s="49">
        <v>1600</v>
      </c>
      <c r="F359" s="49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23.25" customHeight="1" x14ac:dyDescent="0.2">
      <c r="A360" s="52"/>
      <c r="B360" s="52" t="s">
        <v>530</v>
      </c>
      <c r="C360" s="58" t="s">
        <v>146</v>
      </c>
      <c r="D360" s="57" t="s">
        <v>157</v>
      </c>
      <c r="E360" s="50">
        <v>1300</v>
      </c>
      <c r="F360" s="49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23.25" customHeight="1" x14ac:dyDescent="0.2">
      <c r="A361" s="52"/>
      <c r="B361" s="52" t="s">
        <v>531</v>
      </c>
      <c r="C361" s="52" t="s">
        <v>158</v>
      </c>
      <c r="D361" s="57" t="s">
        <v>133</v>
      </c>
      <c r="E361" s="49">
        <v>3500</v>
      </c>
      <c r="F361" s="49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23.25" customHeight="1" x14ac:dyDescent="0.2">
      <c r="A362" s="52"/>
      <c r="B362" s="52" t="s">
        <v>532</v>
      </c>
      <c r="C362" s="58" t="s">
        <v>158</v>
      </c>
      <c r="D362" s="57" t="s">
        <v>108</v>
      </c>
      <c r="E362" s="50"/>
      <c r="F362" s="49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23.25" customHeight="1" x14ac:dyDescent="0.2">
      <c r="A363" s="52"/>
      <c r="B363" s="52" t="s">
        <v>533</v>
      </c>
      <c r="C363" s="52" t="s">
        <v>148</v>
      </c>
      <c r="D363" s="57" t="s">
        <v>108</v>
      </c>
      <c r="E363" s="49">
        <v>1800</v>
      </c>
      <c r="F363" s="49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23.25" customHeight="1" x14ac:dyDescent="0.2">
      <c r="A364" s="52"/>
      <c r="B364" s="52" t="s">
        <v>534</v>
      </c>
      <c r="C364" s="52" t="s">
        <v>142</v>
      </c>
      <c r="D364" s="57" t="s">
        <v>108</v>
      </c>
      <c r="E364" s="49">
        <v>90</v>
      </c>
      <c r="F364" s="49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23.25" customHeight="1" x14ac:dyDescent="0.2">
      <c r="A365" s="52"/>
      <c r="B365" s="52" t="s">
        <v>535</v>
      </c>
      <c r="C365" s="52" t="s">
        <v>158</v>
      </c>
      <c r="D365" s="57" t="s">
        <v>108</v>
      </c>
      <c r="E365" s="49">
        <v>3600</v>
      </c>
      <c r="F365" s="49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23.25" customHeight="1" x14ac:dyDescent="0.2">
      <c r="A366" s="52" t="s">
        <v>536</v>
      </c>
      <c r="B366" s="52" t="s">
        <v>535</v>
      </c>
      <c r="C366" s="52" t="s">
        <v>158</v>
      </c>
      <c r="D366" s="57" t="s">
        <v>133</v>
      </c>
      <c r="E366" s="49">
        <v>36000</v>
      </c>
      <c r="F366" s="49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23.25" customHeight="1" x14ac:dyDescent="0.2">
      <c r="A367" s="52" t="s">
        <v>537</v>
      </c>
      <c r="B367" s="52" t="s">
        <v>535</v>
      </c>
      <c r="C367" s="58" t="s">
        <v>158</v>
      </c>
      <c r="D367" s="57" t="s">
        <v>147</v>
      </c>
      <c r="E367" s="50">
        <v>15000</v>
      </c>
      <c r="F367" s="49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23.25" customHeight="1" x14ac:dyDescent="0.2">
      <c r="A368" s="52" t="s">
        <v>537</v>
      </c>
      <c r="B368" s="52" t="s">
        <v>538</v>
      </c>
      <c r="C368" s="58" t="s">
        <v>158</v>
      </c>
      <c r="D368" s="57" t="s">
        <v>147</v>
      </c>
      <c r="E368" s="50">
        <v>15000</v>
      </c>
      <c r="F368" s="49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23.25" customHeight="1" x14ac:dyDescent="0.2">
      <c r="A369" s="52"/>
      <c r="B369" s="52" t="s">
        <v>539</v>
      </c>
      <c r="C369" s="58" t="s">
        <v>132</v>
      </c>
      <c r="D369" s="57" t="s">
        <v>108</v>
      </c>
      <c r="E369" s="50">
        <v>1750</v>
      </c>
      <c r="F369" s="49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23.25" customHeight="1" x14ac:dyDescent="0.2">
      <c r="A370" s="52" t="s">
        <v>540</v>
      </c>
      <c r="B370" s="52" t="s">
        <v>541</v>
      </c>
      <c r="C370" s="52" t="s">
        <v>152</v>
      </c>
      <c r="D370" s="57" t="s">
        <v>108</v>
      </c>
      <c r="E370" s="49">
        <v>180</v>
      </c>
      <c r="F370" s="49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23.25" customHeight="1" x14ac:dyDescent="0.2">
      <c r="A371" s="62">
        <v>0.2</v>
      </c>
      <c r="B371" s="52" t="s">
        <v>542</v>
      </c>
      <c r="C371" s="52" t="s">
        <v>110</v>
      </c>
      <c r="D371" s="52" t="s">
        <v>137</v>
      </c>
      <c r="E371" s="49">
        <v>2250</v>
      </c>
      <c r="F371" s="49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23.25" customHeight="1" x14ac:dyDescent="0.2">
      <c r="A372" s="52"/>
      <c r="B372" s="52" t="s">
        <v>542</v>
      </c>
      <c r="C372" s="58" t="s">
        <v>158</v>
      </c>
      <c r="D372" s="57" t="s">
        <v>108</v>
      </c>
      <c r="E372" s="50">
        <v>900</v>
      </c>
      <c r="F372" s="49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23.25" customHeight="1" x14ac:dyDescent="0.2">
      <c r="A373" s="52"/>
      <c r="B373" s="52" t="s">
        <v>542</v>
      </c>
      <c r="C373" s="52" t="s">
        <v>158</v>
      </c>
      <c r="D373" s="52" t="s">
        <v>108</v>
      </c>
      <c r="E373" s="49">
        <v>900</v>
      </c>
      <c r="F373" s="49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23.25" customHeight="1" x14ac:dyDescent="0.2">
      <c r="A374" s="52"/>
      <c r="B374" s="52" t="s">
        <v>542</v>
      </c>
      <c r="C374" s="58" t="s">
        <v>158</v>
      </c>
      <c r="D374" s="59" t="s">
        <v>123</v>
      </c>
      <c r="E374" s="49">
        <v>900</v>
      </c>
      <c r="F374" s="50">
        <v>950</v>
      </c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23.25" customHeight="1" x14ac:dyDescent="0.2">
      <c r="A375" s="52"/>
      <c r="B375" s="52" t="s">
        <v>543</v>
      </c>
      <c r="C375" s="58" t="s">
        <v>158</v>
      </c>
      <c r="D375" s="57" t="s">
        <v>108</v>
      </c>
      <c r="E375" s="49"/>
      <c r="F375" s="49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23.25" customHeight="1" x14ac:dyDescent="0.2">
      <c r="A376" s="52"/>
      <c r="B376" s="52" t="s">
        <v>543</v>
      </c>
      <c r="C376" s="58" t="s">
        <v>158</v>
      </c>
      <c r="D376" s="57" t="s">
        <v>157</v>
      </c>
      <c r="E376" s="49">
        <v>2300</v>
      </c>
      <c r="F376" s="49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23.25" customHeight="1" x14ac:dyDescent="0.2">
      <c r="A377" s="52"/>
      <c r="B377" s="52" t="s">
        <v>544</v>
      </c>
      <c r="C377" s="52" t="s">
        <v>152</v>
      </c>
      <c r="D377" s="57" t="s">
        <v>108</v>
      </c>
      <c r="E377" s="49">
        <v>2100</v>
      </c>
      <c r="F377" s="49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23.25" customHeight="1" x14ac:dyDescent="0.2">
      <c r="A378" s="52"/>
      <c r="B378" s="52" t="s">
        <v>545</v>
      </c>
      <c r="C378" s="52" t="s">
        <v>116</v>
      </c>
      <c r="D378" s="57" t="s">
        <v>157</v>
      </c>
      <c r="E378" s="49">
        <v>1900</v>
      </c>
      <c r="F378" s="49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23.25" customHeight="1" x14ac:dyDescent="0.2">
      <c r="A379" s="52"/>
      <c r="B379" s="52" t="s">
        <v>546</v>
      </c>
      <c r="C379" s="52" t="s">
        <v>158</v>
      </c>
      <c r="D379" s="57" t="s">
        <v>108</v>
      </c>
      <c r="E379" s="49">
        <v>3900</v>
      </c>
      <c r="F379" s="49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23.25" customHeight="1" x14ac:dyDescent="0.2">
      <c r="A380" s="52"/>
      <c r="B380" s="52" t="s">
        <v>547</v>
      </c>
      <c r="C380" s="52" t="s">
        <v>144</v>
      </c>
      <c r="D380" s="57" t="s">
        <v>153</v>
      </c>
      <c r="E380" s="49">
        <v>1850</v>
      </c>
      <c r="F380" s="49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23.25" customHeight="1" x14ac:dyDescent="0.2">
      <c r="A381" s="52"/>
      <c r="B381" s="52" t="s">
        <v>548</v>
      </c>
      <c r="C381" s="52" t="s">
        <v>176</v>
      </c>
      <c r="D381" s="57" t="s">
        <v>151</v>
      </c>
      <c r="E381" s="49">
        <v>1565</v>
      </c>
      <c r="F381" s="49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23.25" customHeight="1" x14ac:dyDescent="0.2">
      <c r="A382" s="52"/>
      <c r="B382" s="52" t="s">
        <v>549</v>
      </c>
      <c r="C382" s="58" t="s">
        <v>158</v>
      </c>
      <c r="D382" s="57" t="s">
        <v>129</v>
      </c>
      <c r="E382" s="50">
        <v>790</v>
      </c>
      <c r="F382" s="49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23.25" customHeight="1" x14ac:dyDescent="0.2">
      <c r="A383" s="52"/>
      <c r="B383" s="52" t="s">
        <v>550</v>
      </c>
      <c r="C383" s="52" t="s">
        <v>87</v>
      </c>
      <c r="D383" s="57" t="s">
        <v>108</v>
      </c>
      <c r="E383" s="49">
        <v>2500</v>
      </c>
      <c r="F383" s="49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23.25" customHeight="1" x14ac:dyDescent="0.2">
      <c r="A384" s="52"/>
      <c r="B384" s="52" t="s">
        <v>550</v>
      </c>
      <c r="C384" s="52" t="s">
        <v>144</v>
      </c>
      <c r="D384" s="57" t="s">
        <v>108</v>
      </c>
      <c r="E384" s="49">
        <v>1500</v>
      </c>
      <c r="F384" s="49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23.25" customHeight="1" x14ac:dyDescent="0.2">
      <c r="A385" s="52"/>
      <c r="B385" s="52" t="s">
        <v>550</v>
      </c>
      <c r="C385" s="52" t="s">
        <v>144</v>
      </c>
      <c r="D385" s="57" t="s">
        <v>108</v>
      </c>
      <c r="E385" s="49">
        <v>2500</v>
      </c>
      <c r="F385" s="49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23.25" customHeight="1" x14ac:dyDescent="0.2">
      <c r="A386" s="52"/>
      <c r="B386" s="52" t="s">
        <v>550</v>
      </c>
      <c r="C386" s="52" t="s">
        <v>144</v>
      </c>
      <c r="D386" s="57" t="s">
        <v>108</v>
      </c>
      <c r="E386" s="49">
        <v>2800</v>
      </c>
      <c r="F386" s="49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23.25" customHeight="1" x14ac:dyDescent="0.2">
      <c r="A387" s="52"/>
      <c r="B387" s="52" t="s">
        <v>551</v>
      </c>
      <c r="C387" s="52" t="s">
        <v>158</v>
      </c>
      <c r="D387" s="52" t="s">
        <v>108</v>
      </c>
      <c r="E387" s="49">
        <v>2200</v>
      </c>
      <c r="F387" s="49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23.25" customHeight="1" x14ac:dyDescent="0.2">
      <c r="A388" s="52"/>
      <c r="B388" s="52" t="s">
        <v>552</v>
      </c>
      <c r="C388" s="52"/>
      <c r="D388" s="57" t="s">
        <v>94</v>
      </c>
      <c r="E388" s="50"/>
      <c r="F388" s="49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23.25" customHeight="1" x14ac:dyDescent="0.2">
      <c r="A389" s="52"/>
      <c r="B389" s="52" t="s">
        <v>553</v>
      </c>
      <c r="C389" s="52" t="s">
        <v>158</v>
      </c>
      <c r="D389" s="57" t="s">
        <v>129</v>
      </c>
      <c r="E389" s="49">
        <v>4000</v>
      </c>
      <c r="F389" s="49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23.25" customHeight="1" x14ac:dyDescent="0.2">
      <c r="A390" s="52"/>
      <c r="B390" s="52" t="s">
        <v>554</v>
      </c>
      <c r="C390" s="52" t="s">
        <v>93</v>
      </c>
      <c r="D390" s="52" t="s">
        <v>159</v>
      </c>
      <c r="E390" s="49">
        <v>2100</v>
      </c>
      <c r="F390" s="49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23.25" customHeight="1" x14ac:dyDescent="0.2">
      <c r="A391" s="52" t="s">
        <v>555</v>
      </c>
      <c r="B391" s="52" t="s">
        <v>556</v>
      </c>
      <c r="C391" s="58" t="s">
        <v>158</v>
      </c>
      <c r="D391" s="57" t="s">
        <v>157</v>
      </c>
      <c r="E391" s="50">
        <v>7900</v>
      </c>
      <c r="F391" s="49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23.25" customHeight="1" x14ac:dyDescent="0.2">
      <c r="A392" s="58"/>
      <c r="B392" s="58" t="s">
        <v>557</v>
      </c>
      <c r="C392" s="58" t="s">
        <v>171</v>
      </c>
      <c r="D392" s="57" t="s">
        <v>108</v>
      </c>
      <c r="E392" s="50">
        <v>180</v>
      </c>
      <c r="F392" s="49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23.25" customHeight="1" x14ac:dyDescent="0.2">
      <c r="A393" s="52" t="s">
        <v>558</v>
      </c>
      <c r="B393" s="52" t="s">
        <v>559</v>
      </c>
      <c r="C393" s="52" t="s">
        <v>158</v>
      </c>
      <c r="D393" s="57" t="s">
        <v>129</v>
      </c>
      <c r="E393" s="49">
        <v>1000</v>
      </c>
      <c r="F393" s="49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23.25" customHeight="1" x14ac:dyDescent="0.2">
      <c r="A394" s="52" t="s">
        <v>560</v>
      </c>
      <c r="B394" s="52" t="s">
        <v>561</v>
      </c>
      <c r="C394" s="52" t="s">
        <v>158</v>
      </c>
      <c r="D394" s="57" t="s">
        <v>153</v>
      </c>
      <c r="E394" s="50">
        <v>5600</v>
      </c>
      <c r="F394" s="49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23.25" customHeight="1" x14ac:dyDescent="0.2">
      <c r="A395" s="52" t="s">
        <v>562</v>
      </c>
      <c r="B395" s="52" t="s">
        <v>563</v>
      </c>
      <c r="C395" s="52" t="s">
        <v>158</v>
      </c>
      <c r="D395" s="57" t="s">
        <v>129</v>
      </c>
      <c r="E395" s="49">
        <v>1000</v>
      </c>
      <c r="F395" s="49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23.25" customHeight="1" x14ac:dyDescent="0.2">
      <c r="A396" s="52"/>
      <c r="B396" s="52" t="s">
        <v>564</v>
      </c>
      <c r="C396" s="52" t="s">
        <v>176</v>
      </c>
      <c r="D396" s="57" t="s">
        <v>151</v>
      </c>
      <c r="E396" s="49">
        <v>1865</v>
      </c>
      <c r="F396" s="49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23.25" customHeight="1" x14ac:dyDescent="0.2">
      <c r="A397" s="52"/>
      <c r="B397" s="52" t="s">
        <v>565</v>
      </c>
      <c r="C397" s="52" t="s">
        <v>158</v>
      </c>
      <c r="D397" s="57" t="s">
        <v>145</v>
      </c>
      <c r="E397" s="49">
        <v>2500</v>
      </c>
      <c r="F397" s="49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23.25" customHeight="1" x14ac:dyDescent="0.2">
      <c r="A398" s="52"/>
      <c r="B398" s="52" t="s">
        <v>566</v>
      </c>
      <c r="C398" s="52" t="s">
        <v>116</v>
      </c>
      <c r="D398" s="52" t="s">
        <v>137</v>
      </c>
      <c r="E398" s="49">
        <v>17000</v>
      </c>
      <c r="F398" s="49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23.25" customHeight="1" x14ac:dyDescent="0.2">
      <c r="A399" s="52"/>
      <c r="B399" s="52" t="s">
        <v>35</v>
      </c>
      <c r="C399" s="52"/>
      <c r="D399" s="52"/>
      <c r="E399" s="49"/>
      <c r="F399" s="49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23.25" customHeight="1" x14ac:dyDescent="0.2">
      <c r="A400" s="52"/>
      <c r="B400" s="52" t="s">
        <v>567</v>
      </c>
      <c r="C400" s="58" t="s">
        <v>132</v>
      </c>
      <c r="D400" s="57" t="s">
        <v>108</v>
      </c>
      <c r="E400" s="50">
        <v>2800</v>
      </c>
      <c r="F400" s="49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23.25" customHeight="1" x14ac:dyDescent="0.2">
      <c r="A401" s="52"/>
      <c r="B401" s="52" t="s">
        <v>567</v>
      </c>
      <c r="C401" s="52" t="s">
        <v>132</v>
      </c>
      <c r="D401" s="52" t="s">
        <v>108</v>
      </c>
      <c r="E401" s="49">
        <v>2800</v>
      </c>
      <c r="F401" s="49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23.25" customHeight="1" x14ac:dyDescent="0.2">
      <c r="A402" s="52" t="s">
        <v>568</v>
      </c>
      <c r="B402" s="52" t="s">
        <v>567</v>
      </c>
      <c r="C402" s="52" t="s">
        <v>158</v>
      </c>
      <c r="D402" s="57" t="s">
        <v>108</v>
      </c>
      <c r="E402" s="49">
        <v>1400</v>
      </c>
      <c r="F402" s="49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23.25" customHeight="1" x14ac:dyDescent="0.2">
      <c r="A403" s="52" t="s">
        <v>569</v>
      </c>
      <c r="B403" s="52" t="s">
        <v>567</v>
      </c>
      <c r="C403" s="58" t="s">
        <v>158</v>
      </c>
      <c r="D403" s="57" t="s">
        <v>157</v>
      </c>
      <c r="E403" s="50">
        <v>8700</v>
      </c>
      <c r="F403" s="49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23.25" customHeight="1" x14ac:dyDescent="0.2">
      <c r="A404" s="52"/>
      <c r="B404" s="52" t="s">
        <v>570</v>
      </c>
      <c r="C404" s="52"/>
      <c r="D404" s="57" t="s">
        <v>133</v>
      </c>
      <c r="E404" s="50"/>
      <c r="F404" s="49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23.25" customHeight="1" x14ac:dyDescent="0.2">
      <c r="A405" s="52"/>
      <c r="B405" s="52" t="s">
        <v>571</v>
      </c>
      <c r="C405" s="52"/>
      <c r="D405" s="57" t="s">
        <v>117</v>
      </c>
      <c r="E405" s="50"/>
      <c r="F405" s="49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23.25" customHeight="1" x14ac:dyDescent="0.2">
      <c r="A406" s="52" t="s">
        <v>572</v>
      </c>
      <c r="B406" s="52" t="s">
        <v>573</v>
      </c>
      <c r="C406" s="52" t="s">
        <v>158</v>
      </c>
      <c r="D406" s="57" t="s">
        <v>155</v>
      </c>
      <c r="E406" s="49">
        <v>32000</v>
      </c>
      <c r="F406" s="49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23.25" customHeight="1" x14ac:dyDescent="0.2">
      <c r="A407" s="52" t="s">
        <v>574</v>
      </c>
      <c r="B407" s="52" t="s">
        <v>575</v>
      </c>
      <c r="C407" s="52" t="s">
        <v>158</v>
      </c>
      <c r="D407" s="57" t="s">
        <v>108</v>
      </c>
      <c r="E407" s="49">
        <v>1800</v>
      </c>
      <c r="F407" s="49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23.25" customHeight="1" x14ac:dyDescent="0.2">
      <c r="A408" s="52"/>
      <c r="B408" s="52" t="s">
        <v>575</v>
      </c>
      <c r="C408" s="52" t="s">
        <v>158</v>
      </c>
      <c r="D408" s="57" t="s">
        <v>135</v>
      </c>
      <c r="E408" s="49">
        <v>22000</v>
      </c>
      <c r="F408" s="49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23.25" customHeight="1" x14ac:dyDescent="0.2">
      <c r="A409" s="52" t="s">
        <v>576</v>
      </c>
      <c r="B409" s="52" t="s">
        <v>575</v>
      </c>
      <c r="C409" s="52"/>
      <c r="D409" s="57" t="s">
        <v>129</v>
      </c>
      <c r="E409" s="50"/>
      <c r="F409" s="49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23.25" customHeight="1" x14ac:dyDescent="0.2">
      <c r="A410" s="52" t="s">
        <v>577</v>
      </c>
      <c r="B410" s="52" t="s">
        <v>575</v>
      </c>
      <c r="C410" s="52"/>
      <c r="D410" s="57" t="s">
        <v>129</v>
      </c>
      <c r="E410" s="50"/>
      <c r="F410" s="49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23.25" customHeight="1" x14ac:dyDescent="0.2">
      <c r="A411" s="52"/>
      <c r="B411" s="52" t="s">
        <v>578</v>
      </c>
      <c r="C411" s="52" t="s">
        <v>176</v>
      </c>
      <c r="D411" s="57" t="s">
        <v>151</v>
      </c>
      <c r="E411" s="49">
        <v>1800</v>
      </c>
      <c r="F411" s="49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23.25" customHeight="1" x14ac:dyDescent="0.2">
      <c r="A412" s="52"/>
      <c r="B412" s="52" t="s">
        <v>579</v>
      </c>
      <c r="C412" s="52" t="s">
        <v>176</v>
      </c>
      <c r="D412" s="57" t="s">
        <v>151</v>
      </c>
      <c r="E412" s="49">
        <v>950</v>
      </c>
      <c r="F412" s="49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23.25" customHeight="1" x14ac:dyDescent="0.2">
      <c r="A413" s="52"/>
      <c r="B413" s="52" t="s">
        <v>580</v>
      </c>
      <c r="C413" s="52"/>
      <c r="D413" s="57" t="s">
        <v>149</v>
      </c>
      <c r="E413" s="50"/>
      <c r="F413" s="49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23.25" customHeight="1" x14ac:dyDescent="0.2">
      <c r="A414" s="52"/>
      <c r="B414" s="52" t="s">
        <v>581</v>
      </c>
      <c r="C414" s="52" t="s">
        <v>146</v>
      </c>
      <c r="D414" s="57" t="s">
        <v>145</v>
      </c>
      <c r="E414" s="49">
        <v>6500</v>
      </c>
      <c r="F414" s="49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23.25" customHeight="1" x14ac:dyDescent="0.2">
      <c r="A415" s="52"/>
      <c r="B415" s="52" t="s">
        <v>582</v>
      </c>
      <c r="C415" s="58" t="s">
        <v>146</v>
      </c>
      <c r="D415" s="57" t="s">
        <v>108</v>
      </c>
      <c r="E415" s="50">
        <v>1500</v>
      </c>
      <c r="F415" s="49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23.25" customHeight="1" x14ac:dyDescent="0.2">
      <c r="A416" s="58"/>
      <c r="B416" s="58" t="s">
        <v>583</v>
      </c>
      <c r="C416" s="58" t="s">
        <v>158</v>
      </c>
      <c r="D416" s="57" t="s">
        <v>149</v>
      </c>
      <c r="E416" s="50">
        <v>2400</v>
      </c>
      <c r="F416" s="49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23.25" customHeight="1" x14ac:dyDescent="0.2">
      <c r="A417" s="52"/>
      <c r="B417" s="52" t="s">
        <v>583</v>
      </c>
      <c r="C417" s="52" t="s">
        <v>158</v>
      </c>
      <c r="D417" s="57" t="s">
        <v>149</v>
      </c>
      <c r="E417" s="49">
        <v>3300</v>
      </c>
      <c r="F417" s="49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23.25" customHeight="1" x14ac:dyDescent="0.2">
      <c r="A418" s="52"/>
      <c r="B418" s="52" t="s">
        <v>584</v>
      </c>
      <c r="C418" s="52" t="s">
        <v>146</v>
      </c>
      <c r="D418" s="57" t="s">
        <v>145</v>
      </c>
      <c r="E418" s="49">
        <v>5000</v>
      </c>
      <c r="F418" s="49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23.25" customHeight="1" x14ac:dyDescent="0.2">
      <c r="A419" s="52"/>
      <c r="B419" s="52" t="s">
        <v>585</v>
      </c>
      <c r="C419" s="52" t="s">
        <v>97</v>
      </c>
      <c r="D419" s="57" t="s">
        <v>149</v>
      </c>
      <c r="E419" s="49">
        <v>4000</v>
      </c>
      <c r="F419" s="49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23.25" customHeight="1" x14ac:dyDescent="0.2">
      <c r="A420" s="52"/>
      <c r="B420" s="52" t="s">
        <v>586</v>
      </c>
      <c r="C420" s="52"/>
      <c r="D420" s="57" t="s">
        <v>157</v>
      </c>
      <c r="E420" s="50"/>
      <c r="F420" s="49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23.25" customHeight="1" x14ac:dyDescent="0.2">
      <c r="A421" s="52" t="s">
        <v>587</v>
      </c>
      <c r="B421" s="52" t="s">
        <v>588</v>
      </c>
      <c r="C421" s="52" t="s">
        <v>110</v>
      </c>
      <c r="D421" s="57" t="s">
        <v>108</v>
      </c>
      <c r="E421" s="49">
        <v>27000</v>
      </c>
      <c r="F421" s="49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23.25" customHeight="1" x14ac:dyDescent="0.2">
      <c r="A422" s="52" t="s">
        <v>589</v>
      </c>
      <c r="B422" s="52" t="s">
        <v>588</v>
      </c>
      <c r="C422" s="58"/>
      <c r="D422" s="59"/>
      <c r="E422" s="50"/>
      <c r="F422" s="49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23.25" customHeight="1" x14ac:dyDescent="0.2">
      <c r="A423" s="52" t="s">
        <v>590</v>
      </c>
      <c r="B423" s="52" t="s">
        <v>591</v>
      </c>
      <c r="C423" s="58" t="s">
        <v>158</v>
      </c>
      <c r="D423" s="57" t="s">
        <v>157</v>
      </c>
      <c r="E423" s="49">
        <v>3300</v>
      </c>
      <c r="F423" s="49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23.25" customHeight="1" x14ac:dyDescent="0.2">
      <c r="A424" s="52"/>
      <c r="B424" s="52" t="s">
        <v>592</v>
      </c>
      <c r="C424" s="52" t="s">
        <v>168</v>
      </c>
      <c r="D424" s="57" t="s">
        <v>157</v>
      </c>
      <c r="E424" s="49">
        <v>475</v>
      </c>
      <c r="F424" s="49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23.25" customHeight="1" x14ac:dyDescent="0.2">
      <c r="A425" s="52"/>
      <c r="B425" s="52" t="s">
        <v>593</v>
      </c>
      <c r="C425" s="52" t="s">
        <v>138</v>
      </c>
      <c r="D425" s="57" t="s">
        <v>157</v>
      </c>
      <c r="E425" s="49">
        <v>860</v>
      </c>
      <c r="F425" s="49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23.25" customHeight="1" x14ac:dyDescent="0.2">
      <c r="A426" s="52"/>
      <c r="B426" s="52" t="s">
        <v>594</v>
      </c>
      <c r="C426" s="52" t="s">
        <v>158</v>
      </c>
      <c r="D426" s="57" t="s">
        <v>108</v>
      </c>
      <c r="E426" s="49">
        <v>900</v>
      </c>
      <c r="F426" s="49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23.25" customHeight="1" x14ac:dyDescent="0.2">
      <c r="A427" s="52"/>
      <c r="B427" s="52" t="s">
        <v>594</v>
      </c>
      <c r="C427" s="52" t="s">
        <v>171</v>
      </c>
      <c r="D427" s="57" t="s">
        <v>108</v>
      </c>
      <c r="E427" s="49">
        <v>800</v>
      </c>
      <c r="F427" s="49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23.25" customHeight="1" x14ac:dyDescent="0.2">
      <c r="A428" s="52"/>
      <c r="B428" s="52" t="s">
        <v>595</v>
      </c>
      <c r="C428" s="52" t="s">
        <v>93</v>
      </c>
      <c r="D428" s="57" t="s">
        <v>159</v>
      </c>
      <c r="E428" s="49">
        <v>3200</v>
      </c>
      <c r="F428" s="49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23.25" customHeight="1" x14ac:dyDescent="0.2">
      <c r="A429" s="52" t="s">
        <v>596</v>
      </c>
      <c r="B429" s="52" t="s">
        <v>597</v>
      </c>
      <c r="C429" s="52" t="s">
        <v>116</v>
      </c>
      <c r="D429" s="52" t="s">
        <v>123</v>
      </c>
      <c r="E429" s="49">
        <v>9000</v>
      </c>
      <c r="F429" s="65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23.25" customHeight="1" x14ac:dyDescent="0.2">
      <c r="A430" s="62">
        <v>0.2</v>
      </c>
      <c r="B430" s="52" t="s">
        <v>598</v>
      </c>
      <c r="C430" s="52" t="s">
        <v>116</v>
      </c>
      <c r="D430" s="52" t="s">
        <v>123</v>
      </c>
      <c r="E430" s="49">
        <v>9000</v>
      </c>
      <c r="F430" s="65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23.25" customHeight="1" x14ac:dyDescent="0.2">
      <c r="A431" s="62">
        <v>0.13</v>
      </c>
      <c r="B431" s="52" t="s">
        <v>599</v>
      </c>
      <c r="C431" s="52" t="s">
        <v>116</v>
      </c>
      <c r="D431" s="52" t="s">
        <v>123</v>
      </c>
      <c r="E431" s="49">
        <v>9000</v>
      </c>
      <c r="F431" s="65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23.25" customHeight="1" x14ac:dyDescent="0.2">
      <c r="A432" s="62">
        <v>0.12</v>
      </c>
      <c r="B432" s="52" t="s">
        <v>600</v>
      </c>
      <c r="C432" s="52" t="s">
        <v>116</v>
      </c>
      <c r="D432" s="52" t="s">
        <v>123</v>
      </c>
      <c r="E432" s="49">
        <v>9000</v>
      </c>
      <c r="F432" s="65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23.25" customHeight="1" x14ac:dyDescent="0.2">
      <c r="A433" s="62">
        <v>0.08</v>
      </c>
      <c r="B433" s="52" t="s">
        <v>601</v>
      </c>
      <c r="C433" s="52" t="s">
        <v>116</v>
      </c>
      <c r="D433" s="52" t="s">
        <v>123</v>
      </c>
      <c r="E433" s="49">
        <v>9000</v>
      </c>
      <c r="F433" s="65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23.25" customHeight="1" x14ac:dyDescent="0.2">
      <c r="A434" s="66">
        <v>7.4999999999999997E-2</v>
      </c>
      <c r="B434" s="52" t="s">
        <v>602</v>
      </c>
      <c r="C434" s="52" t="s">
        <v>116</v>
      </c>
      <c r="D434" s="52" t="s">
        <v>123</v>
      </c>
      <c r="E434" s="49">
        <v>9000</v>
      </c>
      <c r="F434" s="65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23.25" customHeight="1" x14ac:dyDescent="0.2">
      <c r="A435" s="62">
        <v>0.05</v>
      </c>
      <c r="B435" s="52" t="s">
        <v>603</v>
      </c>
      <c r="C435" s="52" t="s">
        <v>116</v>
      </c>
      <c r="D435" s="52" t="s">
        <v>123</v>
      </c>
      <c r="E435" s="49">
        <v>9000</v>
      </c>
      <c r="F435" s="65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23.25" customHeight="1" x14ac:dyDescent="0.2">
      <c r="A436" s="62">
        <v>0.04</v>
      </c>
      <c r="B436" s="52" t="s">
        <v>604</v>
      </c>
      <c r="C436" s="52" t="s">
        <v>116</v>
      </c>
      <c r="D436" s="52" t="s">
        <v>123</v>
      </c>
      <c r="E436" s="49">
        <v>9000</v>
      </c>
      <c r="F436" s="65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23.25" customHeight="1" x14ac:dyDescent="0.2">
      <c r="A437" s="52"/>
      <c r="B437" s="52" t="s">
        <v>605</v>
      </c>
      <c r="C437" s="52" t="s">
        <v>132</v>
      </c>
      <c r="D437" s="57" t="s">
        <v>108</v>
      </c>
      <c r="E437" s="49">
        <v>700</v>
      </c>
      <c r="F437" s="49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23.25" customHeight="1" x14ac:dyDescent="0.2">
      <c r="A438" s="52" t="s">
        <v>606</v>
      </c>
      <c r="B438" s="52" t="s">
        <v>605</v>
      </c>
      <c r="C438" s="52"/>
      <c r="D438" s="57" t="s">
        <v>137</v>
      </c>
      <c r="E438" s="49"/>
      <c r="F438" s="49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23.25" customHeight="1" x14ac:dyDescent="0.2">
      <c r="A439" s="52"/>
      <c r="B439" s="52" t="s">
        <v>607</v>
      </c>
      <c r="C439" s="52" t="s">
        <v>158</v>
      </c>
      <c r="D439" s="57" t="s">
        <v>108</v>
      </c>
      <c r="E439" s="50">
        <v>4700</v>
      </c>
      <c r="F439" s="49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23.25" customHeight="1" x14ac:dyDescent="0.2">
      <c r="A440" s="52"/>
      <c r="B440" s="52" t="s">
        <v>608</v>
      </c>
      <c r="C440" s="52" t="s">
        <v>176</v>
      </c>
      <c r="D440" s="57" t="s">
        <v>151</v>
      </c>
      <c r="E440" s="49">
        <v>1850</v>
      </c>
      <c r="F440" s="49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23.25" customHeight="1" x14ac:dyDescent="0.2">
      <c r="A441" s="52"/>
      <c r="B441" s="52" t="s">
        <v>609</v>
      </c>
      <c r="C441" s="52" t="s">
        <v>175</v>
      </c>
      <c r="D441" s="57" t="s">
        <v>153</v>
      </c>
      <c r="E441" s="49">
        <v>550</v>
      </c>
      <c r="F441" s="49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23.25" customHeight="1" x14ac:dyDescent="0.2">
      <c r="A442" s="52"/>
      <c r="B442" s="52" t="s">
        <v>610</v>
      </c>
      <c r="C442" s="52" t="s">
        <v>158</v>
      </c>
      <c r="D442" s="57" t="s">
        <v>108</v>
      </c>
      <c r="E442" s="49">
        <v>2000</v>
      </c>
      <c r="F442" s="49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23.25" customHeight="1" x14ac:dyDescent="0.2">
      <c r="A443" s="52"/>
      <c r="B443" s="52" t="s">
        <v>611</v>
      </c>
      <c r="C443" s="52" t="s">
        <v>158</v>
      </c>
      <c r="D443" s="57" t="s">
        <v>108</v>
      </c>
      <c r="E443" s="49">
        <v>6500</v>
      </c>
      <c r="F443" s="49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23.25" customHeight="1" x14ac:dyDescent="0.2">
      <c r="A444" s="52"/>
      <c r="B444" s="52" t="s">
        <v>612</v>
      </c>
      <c r="C444" s="52" t="s">
        <v>158</v>
      </c>
      <c r="D444" s="57" t="s">
        <v>157</v>
      </c>
      <c r="E444" s="49">
        <v>1200</v>
      </c>
      <c r="F444" s="49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23.25" customHeight="1" x14ac:dyDescent="0.2">
      <c r="A445" s="52"/>
      <c r="B445" s="52" t="s">
        <v>612</v>
      </c>
      <c r="C445" s="52" t="s">
        <v>158</v>
      </c>
      <c r="D445" s="57" t="s">
        <v>157</v>
      </c>
      <c r="E445" s="49">
        <v>1500</v>
      </c>
      <c r="F445" s="49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23.25" customHeight="1" x14ac:dyDescent="0.2">
      <c r="A446" s="52"/>
      <c r="B446" s="52" t="s">
        <v>613</v>
      </c>
      <c r="C446" s="52" t="s">
        <v>158</v>
      </c>
      <c r="D446" s="57" t="s">
        <v>157</v>
      </c>
      <c r="E446" s="49">
        <v>1500</v>
      </c>
      <c r="F446" s="49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23.25" customHeight="1" x14ac:dyDescent="0.2">
      <c r="A447" s="52"/>
      <c r="B447" s="52" t="s">
        <v>614</v>
      </c>
      <c r="C447" s="52" t="s">
        <v>158</v>
      </c>
      <c r="D447" s="57" t="s">
        <v>157</v>
      </c>
      <c r="E447" s="49">
        <v>1500</v>
      </c>
      <c r="F447" s="49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23.25" customHeight="1" x14ac:dyDescent="0.2">
      <c r="A448" s="56"/>
      <c r="B448" s="56"/>
      <c r="C448" s="56"/>
      <c r="D448" s="56"/>
      <c r="E448" s="65"/>
      <c r="F448" s="65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23.25" customHeight="1" x14ac:dyDescent="0.2">
      <c r="A449" s="56"/>
      <c r="B449" s="56"/>
      <c r="C449" s="56"/>
      <c r="D449" s="56"/>
      <c r="E449" s="65"/>
      <c r="F449" s="65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23.25" customHeight="1" x14ac:dyDescent="0.2">
      <c r="A450" s="56"/>
      <c r="B450" s="56"/>
      <c r="C450" s="56"/>
      <c r="D450" s="56"/>
      <c r="E450" s="65"/>
      <c r="F450" s="65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23.25" customHeight="1" x14ac:dyDescent="0.2">
      <c r="A451" s="56"/>
      <c r="B451" s="56"/>
      <c r="C451" s="56"/>
      <c r="D451" s="56"/>
      <c r="E451" s="65"/>
      <c r="F451" s="65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23.25" customHeight="1" x14ac:dyDescent="0.2">
      <c r="A452" s="56"/>
      <c r="B452" s="56"/>
      <c r="C452" s="56"/>
      <c r="D452" s="56"/>
      <c r="E452" s="65"/>
      <c r="F452" s="65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23.25" customHeight="1" x14ac:dyDescent="0.2">
      <c r="A453" s="56"/>
      <c r="B453" s="56"/>
      <c r="C453" s="56"/>
      <c r="D453" s="56"/>
      <c r="E453" s="65"/>
      <c r="F453" s="65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23.25" customHeight="1" x14ac:dyDescent="0.2">
      <c r="A454" s="56"/>
      <c r="B454" s="56"/>
      <c r="C454" s="56"/>
      <c r="D454" s="56"/>
      <c r="E454" s="65"/>
      <c r="F454" s="65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23.25" customHeight="1" x14ac:dyDescent="0.2">
      <c r="A455" s="56"/>
      <c r="B455" s="56"/>
      <c r="C455" s="56"/>
      <c r="D455" s="56"/>
      <c r="E455" s="65"/>
      <c r="F455" s="65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23.25" customHeight="1" x14ac:dyDescent="0.2">
      <c r="A456" s="56"/>
      <c r="B456" s="56"/>
      <c r="C456" s="56"/>
      <c r="D456" s="56"/>
      <c r="E456" s="65"/>
      <c r="F456" s="65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23.25" customHeight="1" x14ac:dyDescent="0.2">
      <c r="A457" s="56"/>
      <c r="B457" s="56"/>
      <c r="C457" s="56"/>
      <c r="D457" s="56"/>
      <c r="E457" s="65"/>
      <c r="F457" s="65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23.25" customHeight="1" x14ac:dyDescent="0.2">
      <c r="A458" s="56"/>
      <c r="B458" s="56"/>
      <c r="C458" s="56"/>
      <c r="D458" s="56"/>
      <c r="E458" s="65"/>
      <c r="F458" s="65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23.25" customHeight="1" x14ac:dyDescent="0.2">
      <c r="A459" s="56"/>
      <c r="B459" s="56"/>
      <c r="C459" s="56"/>
      <c r="D459" s="56"/>
      <c r="E459" s="65"/>
      <c r="F459" s="65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23.25" customHeight="1" x14ac:dyDescent="0.2">
      <c r="A460" s="56"/>
      <c r="B460" s="56"/>
      <c r="C460" s="56"/>
      <c r="D460" s="56"/>
      <c r="E460" s="65"/>
      <c r="F460" s="65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23.25" customHeight="1" x14ac:dyDescent="0.2">
      <c r="A461" s="56"/>
      <c r="B461" s="56"/>
      <c r="C461" s="56"/>
      <c r="D461" s="56"/>
      <c r="E461" s="65"/>
      <c r="F461" s="65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23.25" customHeight="1" x14ac:dyDescent="0.2">
      <c r="A462" s="56"/>
      <c r="B462" s="56"/>
      <c r="C462" s="56"/>
      <c r="D462" s="56"/>
      <c r="E462" s="65"/>
      <c r="F462" s="65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23.25" customHeight="1" x14ac:dyDescent="0.2">
      <c r="A463" s="56"/>
      <c r="B463" s="56"/>
      <c r="C463" s="56"/>
      <c r="D463" s="56"/>
      <c r="E463" s="65"/>
      <c r="F463" s="65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23.25" customHeight="1" x14ac:dyDescent="0.2">
      <c r="A464" s="56"/>
      <c r="B464" s="56"/>
      <c r="C464" s="56"/>
      <c r="D464" s="56"/>
      <c r="E464" s="65"/>
      <c r="F464" s="65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23.25" customHeight="1" x14ac:dyDescent="0.2">
      <c r="A465" s="56"/>
      <c r="B465" s="56"/>
      <c r="C465" s="56"/>
      <c r="D465" s="56"/>
      <c r="E465" s="65"/>
      <c r="F465" s="65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23.25" customHeight="1" x14ac:dyDescent="0.2">
      <c r="A466" s="56"/>
      <c r="B466" s="56"/>
      <c r="C466" s="56"/>
      <c r="D466" s="56"/>
      <c r="E466" s="65"/>
      <c r="F466" s="65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23.25" customHeight="1" x14ac:dyDescent="0.2">
      <c r="A467" s="56"/>
      <c r="B467" s="56"/>
      <c r="C467" s="56"/>
      <c r="D467" s="56"/>
      <c r="E467" s="65"/>
      <c r="F467" s="65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23.25" customHeight="1" x14ac:dyDescent="0.2">
      <c r="A468" s="56"/>
      <c r="B468" s="56"/>
      <c r="C468" s="56"/>
      <c r="D468" s="56"/>
      <c r="E468" s="65"/>
      <c r="F468" s="65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23.25" customHeight="1" x14ac:dyDescent="0.2">
      <c r="A469" s="56"/>
      <c r="B469" s="56"/>
      <c r="C469" s="56"/>
      <c r="D469" s="56"/>
      <c r="E469" s="65"/>
      <c r="F469" s="65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23.25" customHeight="1" x14ac:dyDescent="0.2">
      <c r="A470" s="56"/>
      <c r="B470" s="56"/>
      <c r="C470" s="56"/>
      <c r="D470" s="56"/>
      <c r="E470" s="65"/>
      <c r="F470" s="65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23.25" customHeight="1" x14ac:dyDescent="0.2">
      <c r="A471" s="56"/>
      <c r="B471" s="56"/>
      <c r="C471" s="56"/>
      <c r="D471" s="56"/>
      <c r="E471" s="65"/>
      <c r="F471" s="65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23.25" customHeight="1" x14ac:dyDescent="0.2">
      <c r="A472" s="56"/>
      <c r="B472" s="56"/>
      <c r="C472" s="56"/>
      <c r="D472" s="56"/>
      <c r="E472" s="65"/>
      <c r="F472" s="65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23.25" customHeight="1" x14ac:dyDescent="0.2">
      <c r="A473" s="56"/>
      <c r="B473" s="56"/>
      <c r="C473" s="56"/>
      <c r="D473" s="56"/>
      <c r="E473" s="65"/>
      <c r="F473" s="65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23.25" customHeight="1" x14ac:dyDescent="0.2">
      <c r="A474" s="56"/>
      <c r="B474" s="56"/>
      <c r="C474" s="56"/>
      <c r="D474" s="56"/>
      <c r="E474" s="65"/>
      <c r="F474" s="65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23.25" customHeight="1" x14ac:dyDescent="0.2">
      <c r="A475" s="56"/>
      <c r="B475" s="56"/>
      <c r="C475" s="56"/>
      <c r="D475" s="56"/>
      <c r="E475" s="65"/>
      <c r="F475" s="65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23.25" customHeight="1" x14ac:dyDescent="0.2">
      <c r="A476" s="56"/>
      <c r="B476" s="56"/>
      <c r="C476" s="56"/>
      <c r="D476" s="56"/>
      <c r="E476" s="65"/>
      <c r="F476" s="65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23.25" customHeight="1" x14ac:dyDescent="0.2">
      <c r="A477" s="56"/>
      <c r="B477" s="56"/>
      <c r="C477" s="56"/>
      <c r="D477" s="56"/>
      <c r="E477" s="65"/>
      <c r="F477" s="65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23.25" customHeight="1" x14ac:dyDescent="0.2">
      <c r="A478" s="56"/>
      <c r="B478" s="56"/>
      <c r="C478" s="56"/>
      <c r="D478" s="56"/>
      <c r="E478" s="65"/>
      <c r="F478" s="65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23.25" customHeight="1" x14ac:dyDescent="0.2">
      <c r="A479" s="56"/>
      <c r="B479" s="56"/>
      <c r="C479" s="56"/>
      <c r="D479" s="56"/>
      <c r="E479" s="65"/>
      <c r="F479" s="65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23.25" customHeight="1" x14ac:dyDescent="0.2">
      <c r="A480" s="56"/>
      <c r="B480" s="56"/>
      <c r="C480" s="56"/>
      <c r="D480" s="56"/>
      <c r="E480" s="65"/>
      <c r="F480" s="65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23.25" customHeight="1" x14ac:dyDescent="0.2">
      <c r="A481" s="56"/>
      <c r="B481" s="56"/>
      <c r="C481" s="56"/>
      <c r="D481" s="56"/>
      <c r="E481" s="65"/>
      <c r="F481" s="65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23.25" customHeight="1" x14ac:dyDescent="0.2">
      <c r="A482" s="56"/>
      <c r="B482" s="56"/>
      <c r="C482" s="56"/>
      <c r="D482" s="56"/>
      <c r="E482" s="65"/>
      <c r="F482" s="65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23.25" customHeight="1" x14ac:dyDescent="0.2">
      <c r="A483" s="56"/>
      <c r="B483" s="56"/>
      <c r="C483" s="56"/>
      <c r="D483" s="56"/>
      <c r="E483" s="65"/>
      <c r="F483" s="65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23.25" customHeight="1" x14ac:dyDescent="0.2">
      <c r="A484" s="56"/>
      <c r="B484" s="56"/>
      <c r="C484" s="56"/>
      <c r="D484" s="56"/>
      <c r="E484" s="65"/>
      <c r="F484" s="65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23.25" customHeight="1" x14ac:dyDescent="0.2">
      <c r="A485" s="56"/>
      <c r="B485" s="56"/>
      <c r="C485" s="56"/>
      <c r="D485" s="56"/>
      <c r="E485" s="65"/>
      <c r="F485" s="65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23.25" customHeight="1" x14ac:dyDescent="0.2">
      <c r="A486" s="56"/>
      <c r="B486" s="56"/>
      <c r="C486" s="56"/>
      <c r="D486" s="56"/>
      <c r="E486" s="65"/>
      <c r="F486" s="65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23.25" customHeight="1" x14ac:dyDescent="0.2">
      <c r="A487" s="56"/>
      <c r="B487" s="56"/>
      <c r="C487" s="56"/>
      <c r="D487" s="56"/>
      <c r="E487" s="65"/>
      <c r="F487" s="65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23.25" customHeight="1" x14ac:dyDescent="0.2">
      <c r="A488" s="56"/>
      <c r="B488" s="56"/>
      <c r="C488" s="56"/>
      <c r="D488" s="56"/>
      <c r="E488" s="65"/>
      <c r="F488" s="65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23.25" customHeight="1" x14ac:dyDescent="0.2">
      <c r="A489" s="56"/>
      <c r="B489" s="56"/>
      <c r="C489" s="56"/>
      <c r="D489" s="56"/>
      <c r="E489" s="65"/>
      <c r="F489" s="65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23.25" customHeight="1" x14ac:dyDescent="0.2">
      <c r="A490" s="56"/>
      <c r="B490" s="56"/>
      <c r="C490" s="56"/>
      <c r="D490" s="56"/>
      <c r="E490" s="65"/>
      <c r="F490" s="65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23.25" customHeight="1" x14ac:dyDescent="0.2">
      <c r="A491" s="56"/>
      <c r="B491" s="56"/>
      <c r="C491" s="56"/>
      <c r="D491" s="56"/>
      <c r="E491" s="65"/>
      <c r="F491" s="65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23.25" customHeight="1" x14ac:dyDescent="0.2">
      <c r="A492" s="56"/>
      <c r="B492" s="56"/>
      <c r="C492" s="56"/>
      <c r="D492" s="56"/>
      <c r="E492" s="65"/>
      <c r="F492" s="65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23.25" customHeight="1" x14ac:dyDescent="0.2">
      <c r="A493" s="56"/>
      <c r="B493" s="56"/>
      <c r="C493" s="56"/>
      <c r="D493" s="56"/>
      <c r="E493" s="65"/>
      <c r="F493" s="65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23.25" customHeight="1" x14ac:dyDescent="0.2">
      <c r="A494" s="56"/>
      <c r="B494" s="56"/>
      <c r="C494" s="56"/>
      <c r="D494" s="56"/>
      <c r="E494" s="65"/>
      <c r="F494" s="65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23.25" customHeight="1" x14ac:dyDescent="0.2">
      <c r="A495" s="56"/>
      <c r="B495" s="56"/>
      <c r="C495" s="56"/>
      <c r="D495" s="56"/>
      <c r="E495" s="65"/>
      <c r="F495" s="65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23.25" customHeight="1" x14ac:dyDescent="0.2">
      <c r="A496" s="56"/>
      <c r="B496" s="56"/>
      <c r="C496" s="56"/>
      <c r="D496" s="56"/>
      <c r="E496" s="65"/>
      <c r="F496" s="65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23.25" customHeight="1" x14ac:dyDescent="0.2">
      <c r="A497" s="56"/>
      <c r="B497" s="56"/>
      <c r="C497" s="56"/>
      <c r="D497" s="56"/>
      <c r="E497" s="65"/>
      <c r="F497" s="65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23.25" customHeight="1" x14ac:dyDescent="0.2">
      <c r="A498" s="56"/>
      <c r="B498" s="56"/>
      <c r="C498" s="56"/>
      <c r="D498" s="56"/>
      <c r="E498" s="65"/>
      <c r="F498" s="65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23.25" customHeight="1" x14ac:dyDescent="0.2">
      <c r="A499" s="56"/>
      <c r="B499" s="56"/>
      <c r="C499" s="56"/>
      <c r="D499" s="56"/>
      <c r="E499" s="65"/>
      <c r="F499" s="65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23.25" customHeight="1" x14ac:dyDescent="0.2">
      <c r="A500" s="56"/>
      <c r="B500" s="56"/>
      <c r="C500" s="56"/>
      <c r="D500" s="56"/>
      <c r="E500" s="65"/>
      <c r="F500" s="65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23.25" customHeight="1" x14ac:dyDescent="0.2">
      <c r="A501" s="56"/>
      <c r="B501" s="56"/>
      <c r="C501" s="56"/>
      <c r="D501" s="56"/>
      <c r="E501" s="65"/>
      <c r="F501" s="65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23.25" customHeight="1" x14ac:dyDescent="0.2">
      <c r="A502" s="56"/>
      <c r="B502" s="56"/>
      <c r="C502" s="56"/>
      <c r="D502" s="56"/>
      <c r="E502" s="65"/>
      <c r="F502" s="65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23.25" customHeight="1" x14ac:dyDescent="0.2">
      <c r="A503" s="56"/>
      <c r="B503" s="56"/>
      <c r="C503" s="56"/>
      <c r="D503" s="56"/>
      <c r="E503" s="65"/>
      <c r="F503" s="65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23.25" customHeight="1" x14ac:dyDescent="0.2">
      <c r="A504" s="56"/>
      <c r="B504" s="56"/>
      <c r="C504" s="56"/>
      <c r="D504" s="56"/>
      <c r="E504" s="65"/>
      <c r="F504" s="65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23.25" customHeight="1" x14ac:dyDescent="0.2">
      <c r="A505" s="56"/>
      <c r="B505" s="56"/>
      <c r="C505" s="56"/>
      <c r="D505" s="56"/>
      <c r="E505" s="65"/>
      <c r="F505" s="65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23.25" customHeight="1" x14ac:dyDescent="0.2">
      <c r="A506" s="56"/>
      <c r="B506" s="56"/>
      <c r="C506" s="56"/>
      <c r="D506" s="56"/>
      <c r="E506" s="65"/>
      <c r="F506" s="65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23.25" customHeight="1" x14ac:dyDescent="0.2">
      <c r="A507" s="56"/>
      <c r="B507" s="56"/>
      <c r="C507" s="56"/>
      <c r="D507" s="56"/>
      <c r="E507" s="65"/>
      <c r="F507" s="65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23.25" customHeight="1" x14ac:dyDescent="0.2">
      <c r="A508" s="56"/>
      <c r="B508" s="56"/>
      <c r="C508" s="56"/>
      <c r="D508" s="56"/>
      <c r="E508" s="65"/>
      <c r="F508" s="65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23.25" customHeight="1" x14ac:dyDescent="0.2">
      <c r="A509" s="56"/>
      <c r="B509" s="56"/>
      <c r="C509" s="56"/>
      <c r="D509" s="56"/>
      <c r="E509" s="65"/>
      <c r="F509" s="65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23.25" customHeight="1" x14ac:dyDescent="0.2">
      <c r="A510" s="56"/>
      <c r="B510" s="56"/>
      <c r="C510" s="56"/>
      <c r="D510" s="56"/>
      <c r="E510" s="65"/>
      <c r="F510" s="65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23.25" customHeight="1" x14ac:dyDescent="0.2">
      <c r="A511" s="56"/>
      <c r="B511" s="56"/>
      <c r="C511" s="56"/>
      <c r="D511" s="56"/>
      <c r="E511" s="65"/>
      <c r="F511" s="65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23.25" customHeight="1" x14ac:dyDescent="0.2">
      <c r="A512" s="56"/>
      <c r="B512" s="56"/>
      <c r="C512" s="56"/>
      <c r="D512" s="56"/>
      <c r="E512" s="65"/>
      <c r="F512" s="65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23.25" customHeight="1" x14ac:dyDescent="0.2">
      <c r="A513" s="56"/>
      <c r="B513" s="56"/>
      <c r="C513" s="56"/>
      <c r="D513" s="56"/>
      <c r="E513" s="65"/>
      <c r="F513" s="65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23.25" customHeight="1" x14ac:dyDescent="0.2">
      <c r="A514" s="56"/>
      <c r="B514" s="56"/>
      <c r="C514" s="56"/>
      <c r="D514" s="56"/>
      <c r="E514" s="65"/>
      <c r="F514" s="65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23.25" customHeight="1" x14ac:dyDescent="0.2">
      <c r="A515" s="56"/>
      <c r="B515" s="56"/>
      <c r="C515" s="56"/>
      <c r="D515" s="56"/>
      <c r="E515" s="65"/>
      <c r="F515" s="65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23.25" customHeight="1" x14ac:dyDescent="0.2">
      <c r="A516" s="56"/>
      <c r="B516" s="56"/>
      <c r="C516" s="56"/>
      <c r="D516" s="56"/>
      <c r="E516" s="65"/>
      <c r="F516" s="65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23.25" customHeight="1" x14ac:dyDescent="0.2">
      <c r="A517" s="56"/>
      <c r="B517" s="56"/>
      <c r="C517" s="56"/>
      <c r="D517" s="56"/>
      <c r="E517" s="65"/>
      <c r="F517" s="65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23.25" customHeight="1" x14ac:dyDescent="0.2">
      <c r="A518" s="56"/>
      <c r="B518" s="56"/>
      <c r="C518" s="56"/>
      <c r="D518" s="56"/>
      <c r="E518" s="65"/>
      <c r="F518" s="65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23.25" customHeight="1" x14ac:dyDescent="0.2">
      <c r="A519" s="56"/>
      <c r="B519" s="56"/>
      <c r="C519" s="56"/>
      <c r="D519" s="56"/>
      <c r="E519" s="65"/>
      <c r="F519" s="65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23.25" customHeight="1" x14ac:dyDescent="0.2">
      <c r="A520" s="56"/>
      <c r="B520" s="56"/>
      <c r="C520" s="56"/>
      <c r="D520" s="56"/>
      <c r="E520" s="65"/>
      <c r="F520" s="65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23.25" customHeight="1" x14ac:dyDescent="0.2">
      <c r="A521" s="56"/>
      <c r="B521" s="56"/>
      <c r="C521" s="56"/>
      <c r="D521" s="56"/>
      <c r="E521" s="65"/>
      <c r="F521" s="65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23.25" customHeight="1" x14ac:dyDescent="0.2">
      <c r="A522" s="56"/>
      <c r="B522" s="56"/>
      <c r="C522" s="56"/>
      <c r="D522" s="56"/>
      <c r="E522" s="65"/>
      <c r="F522" s="65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23.25" customHeight="1" x14ac:dyDescent="0.2">
      <c r="A523" s="56"/>
      <c r="B523" s="56"/>
      <c r="C523" s="56"/>
      <c r="D523" s="56"/>
      <c r="E523" s="65"/>
      <c r="F523" s="65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23.25" customHeight="1" x14ac:dyDescent="0.2">
      <c r="A524" s="56"/>
      <c r="B524" s="56"/>
      <c r="C524" s="56"/>
      <c r="D524" s="56"/>
      <c r="E524" s="65"/>
      <c r="F524" s="65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23.25" customHeight="1" x14ac:dyDescent="0.2">
      <c r="A525" s="56"/>
      <c r="B525" s="56"/>
      <c r="C525" s="56"/>
      <c r="D525" s="56"/>
      <c r="E525" s="65"/>
      <c r="F525" s="65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23.25" customHeight="1" x14ac:dyDescent="0.2">
      <c r="A526" s="56"/>
      <c r="B526" s="56"/>
      <c r="C526" s="56"/>
      <c r="D526" s="56"/>
      <c r="E526" s="65"/>
      <c r="F526" s="65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23.25" customHeight="1" x14ac:dyDescent="0.2">
      <c r="A527" s="56"/>
      <c r="B527" s="56"/>
      <c r="C527" s="56"/>
      <c r="D527" s="56"/>
      <c r="E527" s="65"/>
      <c r="F527" s="65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23.25" customHeight="1" x14ac:dyDescent="0.2">
      <c r="A528" s="56"/>
      <c r="B528" s="56"/>
      <c r="C528" s="56"/>
      <c r="D528" s="56"/>
      <c r="E528" s="65"/>
      <c r="F528" s="65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23.25" customHeight="1" x14ac:dyDescent="0.2">
      <c r="A529" s="56"/>
      <c r="B529" s="56"/>
      <c r="C529" s="56"/>
      <c r="D529" s="56"/>
      <c r="E529" s="65"/>
      <c r="F529" s="65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23.25" customHeight="1" x14ac:dyDescent="0.2">
      <c r="A530" s="56"/>
      <c r="B530" s="56"/>
      <c r="C530" s="56"/>
      <c r="D530" s="56"/>
      <c r="E530" s="65"/>
      <c r="F530" s="65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23.25" customHeight="1" x14ac:dyDescent="0.2">
      <c r="A531" s="56"/>
      <c r="B531" s="56"/>
      <c r="C531" s="56"/>
      <c r="D531" s="56"/>
      <c r="E531" s="65"/>
      <c r="F531" s="65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23.25" customHeight="1" x14ac:dyDescent="0.2">
      <c r="A532" s="56"/>
      <c r="B532" s="56"/>
      <c r="C532" s="56"/>
      <c r="D532" s="56"/>
      <c r="E532" s="65"/>
      <c r="F532" s="65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23.25" customHeight="1" x14ac:dyDescent="0.2">
      <c r="A533" s="56"/>
      <c r="B533" s="56"/>
      <c r="C533" s="56"/>
      <c r="D533" s="56"/>
      <c r="E533" s="65"/>
      <c r="F533" s="65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23.25" customHeight="1" x14ac:dyDescent="0.2">
      <c r="A534" s="56"/>
      <c r="B534" s="56"/>
      <c r="C534" s="56"/>
      <c r="D534" s="56"/>
      <c r="E534" s="65"/>
      <c r="F534" s="65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23.25" customHeight="1" x14ac:dyDescent="0.2">
      <c r="A535" s="56"/>
      <c r="B535" s="56"/>
      <c r="C535" s="56"/>
      <c r="D535" s="56"/>
      <c r="E535" s="65"/>
      <c r="F535" s="65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23.25" customHeight="1" x14ac:dyDescent="0.2">
      <c r="A536" s="56"/>
      <c r="B536" s="56"/>
      <c r="C536" s="56"/>
      <c r="D536" s="56"/>
      <c r="E536" s="65"/>
      <c r="F536" s="65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23.25" customHeight="1" x14ac:dyDescent="0.2">
      <c r="A537" s="56"/>
      <c r="B537" s="56"/>
      <c r="C537" s="56"/>
      <c r="D537" s="56"/>
      <c r="E537" s="65"/>
      <c r="F537" s="65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23.25" customHeight="1" x14ac:dyDescent="0.2">
      <c r="A538" s="56"/>
      <c r="B538" s="56"/>
      <c r="C538" s="56"/>
      <c r="D538" s="56"/>
      <c r="E538" s="65"/>
      <c r="F538" s="65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23.25" customHeight="1" x14ac:dyDescent="0.2">
      <c r="A539" s="56"/>
      <c r="B539" s="56"/>
      <c r="C539" s="56"/>
      <c r="D539" s="56"/>
      <c r="E539" s="65"/>
      <c r="F539" s="65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23.25" customHeight="1" x14ac:dyDescent="0.2">
      <c r="A540" s="56"/>
      <c r="B540" s="56"/>
      <c r="C540" s="56"/>
      <c r="D540" s="56"/>
      <c r="E540" s="65"/>
      <c r="F540" s="65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23.25" customHeight="1" x14ac:dyDescent="0.2">
      <c r="A541" s="56"/>
      <c r="B541" s="56"/>
      <c r="C541" s="56"/>
      <c r="D541" s="56"/>
      <c r="E541" s="65"/>
      <c r="F541" s="65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23.25" customHeight="1" x14ac:dyDescent="0.2">
      <c r="A542" s="56"/>
      <c r="B542" s="56"/>
      <c r="C542" s="56"/>
      <c r="D542" s="56"/>
      <c r="E542" s="65"/>
      <c r="F542" s="65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23.25" customHeight="1" x14ac:dyDescent="0.2">
      <c r="A543" s="56"/>
      <c r="B543" s="56"/>
      <c r="C543" s="56"/>
      <c r="D543" s="56"/>
      <c r="E543" s="65"/>
      <c r="F543" s="65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23.25" customHeight="1" x14ac:dyDescent="0.2">
      <c r="A544" s="56"/>
      <c r="B544" s="56"/>
      <c r="C544" s="56"/>
      <c r="D544" s="56"/>
      <c r="E544" s="65"/>
      <c r="F544" s="65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23.25" customHeight="1" x14ac:dyDescent="0.2">
      <c r="A545" s="56"/>
      <c r="B545" s="56"/>
      <c r="C545" s="56"/>
      <c r="D545" s="56"/>
      <c r="E545" s="65"/>
      <c r="F545" s="65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23.25" customHeight="1" x14ac:dyDescent="0.2">
      <c r="A546" s="56"/>
      <c r="B546" s="56"/>
      <c r="C546" s="56"/>
      <c r="D546" s="56"/>
      <c r="E546" s="65"/>
      <c r="F546" s="65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23.25" customHeight="1" x14ac:dyDescent="0.2">
      <c r="A547" s="56"/>
      <c r="B547" s="56"/>
      <c r="C547" s="56"/>
      <c r="D547" s="56"/>
      <c r="E547" s="65"/>
      <c r="F547" s="65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23.25" customHeight="1" x14ac:dyDescent="0.2">
      <c r="A548" s="56"/>
      <c r="B548" s="56"/>
      <c r="C548" s="56"/>
      <c r="D548" s="56"/>
      <c r="E548" s="65"/>
      <c r="F548" s="65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23.25" customHeight="1" x14ac:dyDescent="0.2">
      <c r="A549" s="56"/>
      <c r="B549" s="56"/>
      <c r="C549" s="56"/>
      <c r="D549" s="56"/>
      <c r="E549" s="65"/>
      <c r="F549" s="65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23.25" customHeight="1" x14ac:dyDescent="0.2">
      <c r="A550" s="56"/>
      <c r="B550" s="56"/>
      <c r="C550" s="56"/>
      <c r="D550" s="56"/>
      <c r="E550" s="65"/>
      <c r="F550" s="65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23.25" customHeight="1" x14ac:dyDescent="0.2">
      <c r="A551" s="56"/>
      <c r="B551" s="56"/>
      <c r="C551" s="56"/>
      <c r="D551" s="56"/>
      <c r="E551" s="65"/>
      <c r="F551" s="65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23.25" customHeight="1" x14ac:dyDescent="0.2">
      <c r="A552" s="56"/>
      <c r="B552" s="56"/>
      <c r="C552" s="56"/>
      <c r="D552" s="56"/>
      <c r="E552" s="65"/>
      <c r="F552" s="65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23.25" customHeight="1" x14ac:dyDescent="0.2">
      <c r="A553" s="56"/>
      <c r="B553" s="56"/>
      <c r="C553" s="56"/>
      <c r="D553" s="56"/>
      <c r="E553" s="65"/>
      <c r="F553" s="65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23.25" customHeight="1" x14ac:dyDescent="0.2">
      <c r="A554" s="56"/>
      <c r="B554" s="56"/>
      <c r="C554" s="56"/>
      <c r="D554" s="56"/>
      <c r="E554" s="65"/>
      <c r="F554" s="65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23.25" customHeight="1" x14ac:dyDescent="0.2">
      <c r="A555" s="56"/>
      <c r="B555" s="56"/>
      <c r="C555" s="56"/>
      <c r="D555" s="56"/>
      <c r="E555" s="65"/>
      <c r="F555" s="65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23.25" customHeight="1" x14ac:dyDescent="0.2">
      <c r="A556" s="56"/>
      <c r="B556" s="56"/>
      <c r="C556" s="56"/>
      <c r="D556" s="56"/>
      <c r="E556" s="65"/>
      <c r="F556" s="65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23.25" customHeight="1" x14ac:dyDescent="0.2">
      <c r="A557" s="56"/>
      <c r="B557" s="56"/>
      <c r="C557" s="56"/>
      <c r="D557" s="56"/>
      <c r="E557" s="65"/>
      <c r="F557" s="65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23.25" customHeight="1" x14ac:dyDescent="0.2">
      <c r="A558" s="56"/>
      <c r="B558" s="56"/>
      <c r="C558" s="56"/>
      <c r="D558" s="56"/>
      <c r="E558" s="65"/>
      <c r="F558" s="65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23.25" customHeight="1" x14ac:dyDescent="0.2">
      <c r="A559" s="56"/>
      <c r="B559" s="56"/>
      <c r="C559" s="56"/>
      <c r="D559" s="56"/>
      <c r="E559" s="65"/>
      <c r="F559" s="65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23.25" customHeight="1" x14ac:dyDescent="0.2">
      <c r="A560" s="56"/>
      <c r="B560" s="56"/>
      <c r="C560" s="56"/>
      <c r="D560" s="56"/>
      <c r="E560" s="65"/>
      <c r="F560" s="65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23.25" customHeight="1" x14ac:dyDescent="0.2">
      <c r="A561" s="56"/>
      <c r="B561" s="56"/>
      <c r="C561" s="56"/>
      <c r="D561" s="56"/>
      <c r="E561" s="65"/>
      <c r="F561" s="65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23.25" customHeight="1" x14ac:dyDescent="0.2">
      <c r="A562" s="56"/>
      <c r="B562" s="56"/>
      <c r="C562" s="56"/>
      <c r="D562" s="56"/>
      <c r="E562" s="65"/>
      <c r="F562" s="65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23.25" customHeight="1" x14ac:dyDescent="0.2">
      <c r="A563" s="56"/>
      <c r="B563" s="56"/>
      <c r="C563" s="56"/>
      <c r="D563" s="56"/>
      <c r="E563" s="65"/>
      <c r="F563" s="65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23.25" customHeight="1" x14ac:dyDescent="0.2">
      <c r="A564" s="56"/>
      <c r="B564" s="56"/>
      <c r="C564" s="56"/>
      <c r="D564" s="56"/>
      <c r="E564" s="65"/>
      <c r="F564" s="65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23.25" customHeight="1" x14ac:dyDescent="0.2">
      <c r="A565" s="56"/>
      <c r="B565" s="56"/>
      <c r="C565" s="56"/>
      <c r="D565" s="56"/>
      <c r="E565" s="65"/>
      <c r="F565" s="65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23.25" customHeight="1" x14ac:dyDescent="0.2">
      <c r="A566" s="56"/>
      <c r="B566" s="56"/>
      <c r="C566" s="56"/>
      <c r="D566" s="56"/>
      <c r="E566" s="65"/>
      <c r="F566" s="65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23.25" customHeight="1" x14ac:dyDescent="0.2">
      <c r="A567" s="56"/>
      <c r="B567" s="56"/>
      <c r="C567" s="56"/>
      <c r="D567" s="56"/>
      <c r="E567" s="65"/>
      <c r="F567" s="65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23.25" customHeight="1" x14ac:dyDescent="0.2">
      <c r="A568" s="56"/>
      <c r="B568" s="56"/>
      <c r="C568" s="56"/>
      <c r="D568" s="56"/>
      <c r="E568" s="65"/>
      <c r="F568" s="65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23.25" customHeight="1" x14ac:dyDescent="0.2">
      <c r="A569" s="56"/>
      <c r="B569" s="56"/>
      <c r="C569" s="56"/>
      <c r="D569" s="56"/>
      <c r="E569" s="65"/>
      <c r="F569" s="65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23.25" customHeight="1" x14ac:dyDescent="0.2">
      <c r="A570" s="56"/>
      <c r="B570" s="56"/>
      <c r="C570" s="56"/>
      <c r="D570" s="56"/>
      <c r="E570" s="65"/>
      <c r="F570" s="65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23.25" customHeight="1" x14ac:dyDescent="0.2">
      <c r="A571" s="56"/>
      <c r="B571" s="56"/>
      <c r="C571" s="56"/>
      <c r="D571" s="56"/>
      <c r="E571" s="65"/>
      <c r="F571" s="65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23.25" customHeight="1" x14ac:dyDescent="0.2">
      <c r="A572" s="56"/>
      <c r="B572" s="56"/>
      <c r="C572" s="56"/>
      <c r="D572" s="56"/>
      <c r="E572" s="65"/>
      <c r="F572" s="65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23.25" customHeight="1" x14ac:dyDescent="0.2">
      <c r="A573" s="56"/>
      <c r="B573" s="56"/>
      <c r="C573" s="56"/>
      <c r="D573" s="56"/>
      <c r="E573" s="65"/>
      <c r="F573" s="65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23.25" customHeight="1" x14ac:dyDescent="0.2">
      <c r="A574" s="56"/>
      <c r="B574" s="56"/>
      <c r="C574" s="56"/>
      <c r="D574" s="56"/>
      <c r="E574" s="65"/>
      <c r="F574" s="65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23.25" customHeight="1" x14ac:dyDescent="0.2">
      <c r="A575" s="56"/>
      <c r="B575" s="56"/>
      <c r="C575" s="56"/>
      <c r="D575" s="56"/>
      <c r="E575" s="65"/>
      <c r="F575" s="65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23.25" customHeight="1" x14ac:dyDescent="0.2">
      <c r="A576" s="56"/>
      <c r="B576" s="56"/>
      <c r="C576" s="56"/>
      <c r="D576" s="56"/>
      <c r="E576" s="65"/>
      <c r="F576" s="65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23.25" customHeight="1" x14ac:dyDescent="0.2">
      <c r="A577" s="56"/>
      <c r="B577" s="56"/>
      <c r="C577" s="56"/>
      <c r="D577" s="56"/>
      <c r="E577" s="65"/>
      <c r="F577" s="65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23.25" customHeight="1" x14ac:dyDescent="0.2">
      <c r="A578" s="56"/>
      <c r="B578" s="56"/>
      <c r="C578" s="56"/>
      <c r="D578" s="56"/>
      <c r="E578" s="65"/>
      <c r="F578" s="65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23.25" customHeight="1" x14ac:dyDescent="0.2">
      <c r="A579" s="56"/>
      <c r="B579" s="56"/>
      <c r="C579" s="56"/>
      <c r="D579" s="56"/>
      <c r="E579" s="65"/>
      <c r="F579" s="65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23.25" customHeight="1" x14ac:dyDescent="0.2">
      <c r="A580" s="56"/>
      <c r="B580" s="56"/>
      <c r="C580" s="56"/>
      <c r="D580" s="56"/>
      <c r="E580" s="65"/>
      <c r="F580" s="65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23.25" customHeight="1" x14ac:dyDescent="0.2">
      <c r="A581" s="56"/>
      <c r="B581" s="56"/>
      <c r="C581" s="56"/>
      <c r="D581" s="56"/>
      <c r="E581" s="65"/>
      <c r="F581" s="65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23.25" customHeight="1" x14ac:dyDescent="0.2">
      <c r="A582" s="56"/>
      <c r="B582" s="56"/>
      <c r="C582" s="56"/>
      <c r="D582" s="56"/>
      <c r="E582" s="65"/>
      <c r="F582" s="65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23.25" customHeight="1" x14ac:dyDescent="0.2">
      <c r="A583" s="56"/>
      <c r="B583" s="56"/>
      <c r="C583" s="56"/>
      <c r="D583" s="56"/>
      <c r="E583" s="65"/>
      <c r="F583" s="65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23.25" customHeight="1" x14ac:dyDescent="0.2">
      <c r="A584" s="56"/>
      <c r="B584" s="56"/>
      <c r="C584" s="56"/>
      <c r="D584" s="56"/>
      <c r="E584" s="65"/>
      <c r="F584" s="65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23.25" customHeight="1" x14ac:dyDescent="0.2">
      <c r="A585" s="56"/>
      <c r="B585" s="56"/>
      <c r="C585" s="56"/>
      <c r="D585" s="56"/>
      <c r="E585" s="65"/>
      <c r="F585" s="65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23.25" customHeight="1" x14ac:dyDescent="0.2">
      <c r="A586" s="56"/>
      <c r="B586" s="56"/>
      <c r="C586" s="56"/>
      <c r="D586" s="56"/>
      <c r="E586" s="65"/>
      <c r="F586" s="65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23.25" customHeight="1" x14ac:dyDescent="0.2">
      <c r="A587" s="56"/>
      <c r="B587" s="56"/>
      <c r="C587" s="56"/>
      <c r="D587" s="56"/>
      <c r="E587" s="65"/>
      <c r="F587" s="65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23.25" customHeight="1" x14ac:dyDescent="0.2">
      <c r="A588" s="56"/>
      <c r="B588" s="56"/>
      <c r="C588" s="56"/>
      <c r="D588" s="56"/>
      <c r="E588" s="65"/>
      <c r="F588" s="65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23.25" customHeight="1" x14ac:dyDescent="0.2">
      <c r="A589" s="56"/>
      <c r="B589" s="56"/>
      <c r="C589" s="56"/>
      <c r="D589" s="56"/>
      <c r="E589" s="65"/>
      <c r="F589" s="65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23.25" customHeight="1" x14ac:dyDescent="0.2">
      <c r="A590" s="56"/>
      <c r="B590" s="56"/>
      <c r="C590" s="56"/>
      <c r="D590" s="56"/>
      <c r="E590" s="65"/>
      <c r="F590" s="65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23.25" customHeight="1" x14ac:dyDescent="0.2">
      <c r="A591" s="56"/>
      <c r="B591" s="56"/>
      <c r="C591" s="56"/>
      <c r="D591" s="56"/>
      <c r="E591" s="65"/>
      <c r="F591" s="65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23.25" customHeight="1" x14ac:dyDescent="0.2">
      <c r="A592" s="56"/>
      <c r="B592" s="56"/>
      <c r="C592" s="56"/>
      <c r="D592" s="56"/>
      <c r="E592" s="65"/>
      <c r="F592" s="65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23.25" customHeight="1" x14ac:dyDescent="0.2">
      <c r="A593" s="56"/>
      <c r="B593" s="56"/>
      <c r="C593" s="56"/>
      <c r="D593" s="56"/>
      <c r="E593" s="65"/>
      <c r="F593" s="65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23.25" customHeight="1" x14ac:dyDescent="0.2">
      <c r="A594" s="56"/>
      <c r="B594" s="56"/>
      <c r="C594" s="56"/>
      <c r="D594" s="56"/>
      <c r="E594" s="65"/>
      <c r="F594" s="65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23.25" customHeight="1" x14ac:dyDescent="0.2">
      <c r="A595" s="56"/>
      <c r="B595" s="56"/>
      <c r="C595" s="56"/>
      <c r="D595" s="56"/>
      <c r="E595" s="65"/>
      <c r="F595" s="65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23.25" customHeight="1" x14ac:dyDescent="0.2">
      <c r="A596" s="56"/>
      <c r="B596" s="56"/>
      <c r="C596" s="56"/>
      <c r="D596" s="56"/>
      <c r="E596" s="65"/>
      <c r="F596" s="65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23.25" customHeight="1" x14ac:dyDescent="0.2">
      <c r="A597" s="56"/>
      <c r="B597" s="56"/>
      <c r="C597" s="56"/>
      <c r="D597" s="56"/>
      <c r="E597" s="65"/>
      <c r="F597" s="65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23.25" customHeight="1" x14ac:dyDescent="0.2">
      <c r="A598" s="56"/>
      <c r="B598" s="56"/>
      <c r="C598" s="56"/>
      <c r="D598" s="56"/>
      <c r="E598" s="65"/>
      <c r="F598" s="65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23.25" customHeight="1" x14ac:dyDescent="0.2">
      <c r="A599" s="56"/>
      <c r="B599" s="56"/>
      <c r="C599" s="56"/>
      <c r="D599" s="56"/>
      <c r="E599" s="65"/>
      <c r="F599" s="65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23.25" customHeight="1" x14ac:dyDescent="0.2">
      <c r="A600" s="56"/>
      <c r="B600" s="56"/>
      <c r="C600" s="56"/>
      <c r="D600" s="56"/>
      <c r="E600" s="65"/>
      <c r="F600" s="65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23.25" customHeight="1" x14ac:dyDescent="0.2">
      <c r="A601" s="56"/>
      <c r="B601" s="56"/>
      <c r="C601" s="56"/>
      <c r="D601" s="56"/>
      <c r="E601" s="65"/>
      <c r="F601" s="65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23.25" customHeight="1" x14ac:dyDescent="0.2">
      <c r="A602" s="56"/>
      <c r="B602" s="56"/>
      <c r="C602" s="56"/>
      <c r="D602" s="56"/>
      <c r="E602" s="65"/>
      <c r="F602" s="65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23.25" customHeight="1" x14ac:dyDescent="0.2">
      <c r="A603" s="56"/>
      <c r="B603" s="56"/>
      <c r="C603" s="56"/>
      <c r="D603" s="56"/>
      <c r="E603" s="65"/>
      <c r="F603" s="65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23.25" customHeight="1" x14ac:dyDescent="0.2">
      <c r="A604" s="56"/>
      <c r="B604" s="56"/>
      <c r="C604" s="56"/>
      <c r="D604" s="56"/>
      <c r="E604" s="65"/>
      <c r="F604" s="65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23.25" customHeight="1" x14ac:dyDescent="0.2">
      <c r="A605" s="56"/>
      <c r="B605" s="56"/>
      <c r="C605" s="56"/>
      <c r="D605" s="56"/>
      <c r="E605" s="65"/>
      <c r="F605" s="65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23.25" customHeight="1" x14ac:dyDescent="0.2">
      <c r="A606" s="56"/>
      <c r="B606" s="56"/>
      <c r="C606" s="56"/>
      <c r="D606" s="56"/>
      <c r="E606" s="65"/>
      <c r="F606" s="65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23.25" customHeight="1" x14ac:dyDescent="0.2">
      <c r="A607" s="56"/>
      <c r="B607" s="56"/>
      <c r="C607" s="56"/>
      <c r="D607" s="56"/>
      <c r="E607" s="65"/>
      <c r="F607" s="65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23.25" customHeight="1" x14ac:dyDescent="0.2">
      <c r="A608" s="56"/>
      <c r="B608" s="56"/>
      <c r="C608" s="56"/>
      <c r="D608" s="56"/>
      <c r="E608" s="65"/>
      <c r="F608" s="65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23.25" customHeight="1" x14ac:dyDescent="0.2">
      <c r="A609" s="56"/>
      <c r="B609" s="56"/>
      <c r="C609" s="56"/>
      <c r="D609" s="56"/>
      <c r="E609" s="65"/>
      <c r="F609" s="65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23.25" customHeight="1" x14ac:dyDescent="0.2">
      <c r="A610" s="56"/>
      <c r="B610" s="56"/>
      <c r="C610" s="56"/>
      <c r="D610" s="56"/>
      <c r="E610" s="65"/>
      <c r="F610" s="65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23.25" customHeight="1" x14ac:dyDescent="0.2">
      <c r="A611" s="56"/>
      <c r="B611" s="56"/>
      <c r="C611" s="56"/>
      <c r="D611" s="56"/>
      <c r="E611" s="65"/>
      <c r="F611" s="65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23.25" customHeight="1" x14ac:dyDescent="0.2">
      <c r="A612" s="56"/>
      <c r="B612" s="56"/>
      <c r="C612" s="56"/>
      <c r="D612" s="56"/>
      <c r="E612" s="65"/>
      <c r="F612" s="65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23.25" customHeight="1" x14ac:dyDescent="0.2">
      <c r="A613" s="56"/>
      <c r="B613" s="56"/>
      <c r="C613" s="56"/>
      <c r="D613" s="56"/>
      <c r="E613" s="65"/>
      <c r="F613" s="65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23.25" customHeight="1" x14ac:dyDescent="0.2">
      <c r="A614" s="56"/>
      <c r="B614" s="56"/>
      <c r="C614" s="56"/>
      <c r="D614" s="56"/>
      <c r="E614" s="65"/>
      <c r="F614" s="65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23.25" customHeight="1" x14ac:dyDescent="0.2">
      <c r="A615" s="56"/>
      <c r="B615" s="56"/>
      <c r="C615" s="56"/>
      <c r="D615" s="56"/>
      <c r="E615" s="65"/>
      <c r="F615" s="65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23.25" customHeight="1" x14ac:dyDescent="0.2">
      <c r="A616" s="56"/>
      <c r="B616" s="56"/>
      <c r="C616" s="56"/>
      <c r="D616" s="56"/>
      <c r="E616" s="65"/>
      <c r="F616" s="65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23.25" customHeight="1" x14ac:dyDescent="0.2">
      <c r="A617" s="56"/>
      <c r="B617" s="56"/>
      <c r="C617" s="56"/>
      <c r="D617" s="56"/>
      <c r="E617" s="65"/>
      <c r="F617" s="65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23.25" customHeight="1" x14ac:dyDescent="0.2">
      <c r="A618" s="56"/>
      <c r="B618" s="56"/>
      <c r="C618" s="56"/>
      <c r="D618" s="56"/>
      <c r="E618" s="65"/>
      <c r="F618" s="65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23.25" customHeight="1" x14ac:dyDescent="0.2">
      <c r="A619" s="56"/>
      <c r="B619" s="56"/>
      <c r="C619" s="56"/>
      <c r="D619" s="56"/>
      <c r="E619" s="65"/>
      <c r="F619" s="65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23.25" customHeight="1" x14ac:dyDescent="0.2">
      <c r="A620" s="56"/>
      <c r="B620" s="56"/>
      <c r="C620" s="56"/>
      <c r="D620" s="56"/>
      <c r="E620" s="65"/>
      <c r="F620" s="65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23.25" customHeight="1" x14ac:dyDescent="0.2">
      <c r="A621" s="56"/>
      <c r="B621" s="56"/>
      <c r="C621" s="56"/>
      <c r="D621" s="56"/>
      <c r="E621" s="65"/>
      <c r="F621" s="65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23.25" customHeight="1" x14ac:dyDescent="0.2">
      <c r="A622" s="56"/>
      <c r="B622" s="56"/>
      <c r="C622" s="56"/>
      <c r="D622" s="56"/>
      <c r="E622" s="65"/>
      <c r="F622" s="65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23.25" customHeight="1" x14ac:dyDescent="0.2">
      <c r="A623" s="56"/>
      <c r="B623" s="56"/>
      <c r="C623" s="56"/>
      <c r="D623" s="56"/>
      <c r="E623" s="65"/>
      <c r="F623" s="65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23.25" customHeight="1" x14ac:dyDescent="0.2">
      <c r="A624" s="56"/>
      <c r="B624" s="56"/>
      <c r="C624" s="56"/>
      <c r="D624" s="56"/>
      <c r="E624" s="65"/>
      <c r="F624" s="65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23.25" customHeight="1" x14ac:dyDescent="0.2">
      <c r="A625" s="56"/>
      <c r="B625" s="56"/>
      <c r="C625" s="56"/>
      <c r="D625" s="56"/>
      <c r="E625" s="65"/>
      <c r="F625" s="65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23.25" customHeight="1" x14ac:dyDescent="0.2">
      <c r="A626" s="56"/>
      <c r="B626" s="56"/>
      <c r="C626" s="56"/>
      <c r="D626" s="56"/>
      <c r="E626" s="65"/>
      <c r="F626" s="65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23.25" customHeight="1" x14ac:dyDescent="0.2">
      <c r="A627" s="56"/>
      <c r="B627" s="56"/>
      <c r="C627" s="56"/>
      <c r="D627" s="56"/>
      <c r="E627" s="65"/>
      <c r="F627" s="65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23.25" customHeight="1" x14ac:dyDescent="0.2">
      <c r="A628" s="56"/>
      <c r="B628" s="56"/>
      <c r="C628" s="56"/>
      <c r="D628" s="56"/>
      <c r="E628" s="65"/>
      <c r="F628" s="65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23.25" customHeight="1" x14ac:dyDescent="0.2">
      <c r="A629" s="56"/>
      <c r="B629" s="56"/>
      <c r="C629" s="56"/>
      <c r="D629" s="56"/>
      <c r="E629" s="65"/>
      <c r="F629" s="65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23.25" customHeight="1" x14ac:dyDescent="0.2">
      <c r="A630" s="56"/>
      <c r="B630" s="56"/>
      <c r="C630" s="56"/>
      <c r="D630" s="56"/>
      <c r="E630" s="65"/>
      <c r="F630" s="65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23.25" customHeight="1" x14ac:dyDescent="0.2">
      <c r="A631" s="56"/>
      <c r="B631" s="56"/>
      <c r="C631" s="56"/>
      <c r="D631" s="56"/>
      <c r="E631" s="65"/>
      <c r="F631" s="65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23.25" customHeight="1" x14ac:dyDescent="0.2">
      <c r="A632" s="56"/>
      <c r="B632" s="56"/>
      <c r="C632" s="56"/>
      <c r="D632" s="56"/>
      <c r="E632" s="65"/>
      <c r="F632" s="65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23.25" customHeight="1" x14ac:dyDescent="0.2">
      <c r="A633" s="56"/>
      <c r="B633" s="56"/>
      <c r="C633" s="56"/>
      <c r="D633" s="56"/>
      <c r="E633" s="65"/>
      <c r="F633" s="65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23.25" customHeight="1" x14ac:dyDescent="0.2">
      <c r="A634" s="56"/>
      <c r="B634" s="56"/>
      <c r="C634" s="56"/>
      <c r="D634" s="56"/>
      <c r="E634" s="65"/>
      <c r="F634" s="65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23.25" customHeight="1" x14ac:dyDescent="0.2">
      <c r="A635" s="56"/>
      <c r="B635" s="56"/>
      <c r="C635" s="56"/>
      <c r="D635" s="56"/>
      <c r="E635" s="65"/>
      <c r="F635" s="65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23.25" customHeight="1" x14ac:dyDescent="0.2">
      <c r="A636" s="56"/>
      <c r="B636" s="56"/>
      <c r="C636" s="56"/>
      <c r="D636" s="56"/>
      <c r="E636" s="65"/>
      <c r="F636" s="65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23.25" customHeight="1" x14ac:dyDescent="0.2">
      <c r="A637" s="56"/>
      <c r="B637" s="56"/>
      <c r="C637" s="56"/>
      <c r="D637" s="56"/>
      <c r="E637" s="65"/>
      <c r="F637" s="65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23.25" customHeight="1" x14ac:dyDescent="0.2">
      <c r="A638" s="56"/>
      <c r="B638" s="56"/>
      <c r="C638" s="56"/>
      <c r="D638" s="56"/>
      <c r="E638" s="65"/>
      <c r="F638" s="65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23.25" customHeight="1" x14ac:dyDescent="0.2">
      <c r="A639" s="56"/>
      <c r="B639" s="56"/>
      <c r="C639" s="56"/>
      <c r="D639" s="56"/>
      <c r="E639" s="65"/>
      <c r="F639" s="65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23.25" customHeight="1" x14ac:dyDescent="0.2">
      <c r="A640" s="56"/>
      <c r="B640" s="56"/>
      <c r="C640" s="56"/>
      <c r="D640" s="56"/>
      <c r="E640" s="65"/>
      <c r="F640" s="65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23.25" customHeight="1" x14ac:dyDescent="0.2">
      <c r="A641" s="56"/>
      <c r="B641" s="56"/>
      <c r="C641" s="56"/>
      <c r="D641" s="56"/>
      <c r="E641" s="65"/>
      <c r="F641" s="65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23.25" customHeight="1" x14ac:dyDescent="0.2">
      <c r="A642" s="56"/>
      <c r="B642" s="56"/>
      <c r="C642" s="56"/>
      <c r="D642" s="56"/>
      <c r="E642" s="65"/>
      <c r="F642" s="65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23.25" customHeight="1" x14ac:dyDescent="0.2">
      <c r="A643" s="56"/>
      <c r="B643" s="56"/>
      <c r="C643" s="56"/>
      <c r="D643" s="56"/>
      <c r="E643" s="65"/>
      <c r="F643" s="65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23.25" customHeight="1" x14ac:dyDescent="0.2">
      <c r="A644" s="56"/>
      <c r="B644" s="56"/>
      <c r="C644" s="56"/>
      <c r="D644" s="56"/>
      <c r="E644" s="65"/>
      <c r="F644" s="65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23.25" customHeight="1" x14ac:dyDescent="0.2">
      <c r="A645" s="56"/>
      <c r="B645" s="56"/>
      <c r="C645" s="56"/>
      <c r="D645" s="56"/>
      <c r="E645" s="65"/>
      <c r="F645" s="65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23.25" customHeight="1" x14ac:dyDescent="0.2">
      <c r="A646" s="56"/>
      <c r="B646" s="56"/>
      <c r="C646" s="56"/>
      <c r="D646" s="56"/>
      <c r="E646" s="65"/>
      <c r="F646" s="65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23.25" customHeight="1" x14ac:dyDescent="0.2">
      <c r="A647" s="56"/>
      <c r="B647" s="56"/>
      <c r="C647" s="56"/>
      <c r="D647" s="56"/>
      <c r="E647" s="65"/>
      <c r="F647" s="65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23.25" customHeight="1" x14ac:dyDescent="0.2">
      <c r="A648" s="56"/>
      <c r="B648" s="56"/>
      <c r="C648" s="56"/>
      <c r="D648" s="56"/>
      <c r="E648" s="65"/>
      <c r="F648" s="65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23.25" customHeight="1" x14ac:dyDescent="0.2">
      <c r="A649" s="56"/>
      <c r="B649" s="56"/>
      <c r="C649" s="56"/>
      <c r="D649" s="56"/>
      <c r="E649" s="65"/>
      <c r="F649" s="65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23.25" customHeight="1" x14ac:dyDescent="0.2">
      <c r="A650" s="56"/>
      <c r="B650" s="56"/>
      <c r="C650" s="56"/>
      <c r="D650" s="56"/>
      <c r="E650" s="65"/>
      <c r="F650" s="65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23.25" customHeight="1" x14ac:dyDescent="0.2">
      <c r="A651" s="56"/>
      <c r="B651" s="56"/>
      <c r="C651" s="56"/>
      <c r="D651" s="56"/>
      <c r="E651" s="65"/>
      <c r="F651" s="65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23.25" customHeight="1" x14ac:dyDescent="0.2">
      <c r="A652" s="56"/>
      <c r="B652" s="56"/>
      <c r="C652" s="56"/>
      <c r="D652" s="56"/>
      <c r="E652" s="65"/>
      <c r="F652" s="65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23.25" customHeight="1" x14ac:dyDescent="0.2">
      <c r="A653" s="56"/>
      <c r="B653" s="56"/>
      <c r="C653" s="56"/>
      <c r="D653" s="56"/>
      <c r="E653" s="65"/>
      <c r="F653" s="65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23.25" customHeight="1" x14ac:dyDescent="0.2">
      <c r="A654" s="56"/>
      <c r="B654" s="56"/>
      <c r="C654" s="56"/>
      <c r="D654" s="56"/>
      <c r="E654" s="65"/>
      <c r="F654" s="65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23.25" customHeight="1" x14ac:dyDescent="0.2">
      <c r="A655" s="56"/>
      <c r="B655" s="56"/>
      <c r="C655" s="56"/>
      <c r="D655" s="56"/>
      <c r="E655" s="65"/>
      <c r="F655" s="65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23.25" customHeight="1" x14ac:dyDescent="0.2">
      <c r="A656" s="56"/>
      <c r="B656" s="56"/>
      <c r="C656" s="56"/>
      <c r="D656" s="56"/>
      <c r="E656" s="65"/>
      <c r="F656" s="65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23.25" customHeight="1" x14ac:dyDescent="0.2">
      <c r="A657" s="56"/>
      <c r="B657" s="56"/>
      <c r="C657" s="56"/>
      <c r="D657" s="56"/>
      <c r="E657" s="65"/>
      <c r="F657" s="65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23.25" customHeight="1" x14ac:dyDescent="0.2">
      <c r="A658" s="56"/>
      <c r="B658" s="56"/>
      <c r="C658" s="56"/>
      <c r="D658" s="56"/>
      <c r="E658" s="65"/>
      <c r="F658" s="65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23.25" customHeight="1" x14ac:dyDescent="0.2">
      <c r="A659" s="56"/>
      <c r="B659" s="56"/>
      <c r="C659" s="56"/>
      <c r="D659" s="56"/>
      <c r="E659" s="65"/>
      <c r="F659" s="65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23.25" customHeight="1" x14ac:dyDescent="0.2">
      <c r="A660" s="56"/>
      <c r="B660" s="56"/>
      <c r="C660" s="56"/>
      <c r="D660" s="56"/>
      <c r="E660" s="65"/>
      <c r="F660" s="65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23.25" customHeight="1" x14ac:dyDescent="0.2">
      <c r="A661" s="56"/>
      <c r="B661" s="56"/>
      <c r="C661" s="56"/>
      <c r="D661" s="56"/>
      <c r="E661" s="65"/>
      <c r="F661" s="65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23.25" customHeight="1" x14ac:dyDescent="0.2">
      <c r="A662" s="56"/>
      <c r="B662" s="56"/>
      <c r="C662" s="56"/>
      <c r="D662" s="56"/>
      <c r="E662" s="65"/>
      <c r="F662" s="65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23.25" customHeight="1" x14ac:dyDescent="0.2">
      <c r="A663" s="56"/>
      <c r="B663" s="56"/>
      <c r="C663" s="56"/>
      <c r="D663" s="56"/>
      <c r="E663" s="65"/>
      <c r="F663" s="65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23.25" customHeight="1" x14ac:dyDescent="0.2">
      <c r="A664" s="56"/>
      <c r="B664" s="56"/>
      <c r="C664" s="56"/>
      <c r="D664" s="56"/>
      <c r="E664" s="65"/>
      <c r="F664" s="65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23.25" customHeight="1" x14ac:dyDescent="0.2">
      <c r="A665" s="56"/>
      <c r="B665" s="56"/>
      <c r="C665" s="56"/>
      <c r="D665" s="56"/>
      <c r="E665" s="65"/>
      <c r="F665" s="65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23.25" customHeight="1" x14ac:dyDescent="0.2">
      <c r="A666" s="56"/>
      <c r="B666" s="56"/>
      <c r="C666" s="56"/>
      <c r="D666" s="56"/>
      <c r="E666" s="65"/>
      <c r="F666" s="65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23.25" customHeight="1" x14ac:dyDescent="0.2">
      <c r="A667" s="56"/>
      <c r="B667" s="56"/>
      <c r="C667" s="56"/>
      <c r="D667" s="56"/>
      <c r="E667" s="65"/>
      <c r="F667" s="65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23.25" customHeight="1" x14ac:dyDescent="0.2">
      <c r="A668" s="56"/>
      <c r="B668" s="56"/>
      <c r="C668" s="56"/>
      <c r="D668" s="56"/>
      <c r="E668" s="65"/>
      <c r="F668" s="65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23.25" customHeight="1" x14ac:dyDescent="0.2">
      <c r="A669" s="56"/>
      <c r="B669" s="56"/>
      <c r="C669" s="56"/>
      <c r="D669" s="56"/>
      <c r="E669" s="65"/>
      <c r="F669" s="65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23.25" customHeight="1" x14ac:dyDescent="0.2">
      <c r="A670" s="56"/>
      <c r="B670" s="56"/>
      <c r="C670" s="56"/>
      <c r="D670" s="56"/>
      <c r="E670" s="65"/>
      <c r="F670" s="65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23.25" customHeight="1" x14ac:dyDescent="0.2">
      <c r="A671" s="56"/>
      <c r="B671" s="56"/>
      <c r="C671" s="56"/>
      <c r="D671" s="56"/>
      <c r="E671" s="65"/>
      <c r="F671" s="65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23.25" customHeight="1" x14ac:dyDescent="0.2">
      <c r="A672" s="56"/>
      <c r="B672" s="56"/>
      <c r="C672" s="56"/>
      <c r="D672" s="56"/>
      <c r="E672" s="65"/>
      <c r="F672" s="65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23.25" customHeight="1" x14ac:dyDescent="0.2">
      <c r="A673" s="56"/>
      <c r="B673" s="56"/>
      <c r="C673" s="56"/>
      <c r="D673" s="56"/>
      <c r="E673" s="65"/>
      <c r="F673" s="65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23.25" customHeight="1" x14ac:dyDescent="0.2">
      <c r="A674" s="56"/>
      <c r="B674" s="56"/>
      <c r="C674" s="56"/>
      <c r="D674" s="56"/>
      <c r="E674" s="65"/>
      <c r="F674" s="65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23.25" customHeight="1" x14ac:dyDescent="0.2">
      <c r="A675" s="56"/>
      <c r="B675" s="56"/>
      <c r="C675" s="56"/>
      <c r="D675" s="56"/>
      <c r="E675" s="65"/>
      <c r="F675" s="65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23.25" customHeight="1" x14ac:dyDescent="0.2">
      <c r="A676" s="56"/>
      <c r="B676" s="56"/>
      <c r="C676" s="56"/>
      <c r="D676" s="56"/>
      <c r="E676" s="65"/>
      <c r="F676" s="65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23.25" customHeight="1" x14ac:dyDescent="0.2">
      <c r="A677" s="56"/>
      <c r="B677" s="56"/>
      <c r="C677" s="56"/>
      <c r="D677" s="56"/>
      <c r="E677" s="65"/>
      <c r="F677" s="65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23.25" customHeight="1" x14ac:dyDescent="0.2">
      <c r="A678" s="56"/>
      <c r="B678" s="56"/>
      <c r="C678" s="56"/>
      <c r="D678" s="56"/>
      <c r="E678" s="65"/>
      <c r="F678" s="65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23.25" customHeight="1" x14ac:dyDescent="0.2">
      <c r="A679" s="56"/>
      <c r="B679" s="56"/>
      <c r="C679" s="56"/>
      <c r="D679" s="56"/>
      <c r="E679" s="65"/>
      <c r="F679" s="65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23.25" customHeight="1" x14ac:dyDescent="0.2">
      <c r="A680" s="56"/>
      <c r="B680" s="56"/>
      <c r="C680" s="56"/>
      <c r="D680" s="56"/>
      <c r="E680" s="65"/>
      <c r="F680" s="65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23.25" customHeight="1" x14ac:dyDescent="0.2">
      <c r="A681" s="56"/>
      <c r="B681" s="56"/>
      <c r="C681" s="56"/>
      <c r="D681" s="56"/>
      <c r="E681" s="65"/>
      <c r="F681" s="65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23.25" customHeight="1" x14ac:dyDescent="0.2">
      <c r="A682" s="56"/>
      <c r="B682" s="56"/>
      <c r="C682" s="56"/>
      <c r="D682" s="56"/>
      <c r="E682" s="65"/>
      <c r="F682" s="65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23.25" customHeight="1" x14ac:dyDescent="0.2">
      <c r="A683" s="56"/>
      <c r="B683" s="56"/>
      <c r="C683" s="56"/>
      <c r="D683" s="56"/>
      <c r="E683" s="65"/>
      <c r="F683" s="65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23.25" customHeight="1" x14ac:dyDescent="0.2">
      <c r="A684" s="56"/>
      <c r="B684" s="56"/>
      <c r="C684" s="56"/>
      <c r="D684" s="56"/>
      <c r="E684" s="65"/>
      <c r="F684" s="65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23.25" customHeight="1" x14ac:dyDescent="0.2">
      <c r="A685" s="56"/>
      <c r="B685" s="56"/>
      <c r="C685" s="56"/>
      <c r="D685" s="56"/>
      <c r="E685" s="65"/>
      <c r="F685" s="65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23.25" customHeight="1" x14ac:dyDescent="0.2">
      <c r="A686" s="56"/>
      <c r="B686" s="56"/>
      <c r="C686" s="56"/>
      <c r="D686" s="56"/>
      <c r="E686" s="65"/>
      <c r="F686" s="65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23.25" customHeight="1" x14ac:dyDescent="0.2">
      <c r="A687" s="56"/>
      <c r="B687" s="56"/>
      <c r="C687" s="56"/>
      <c r="D687" s="56"/>
      <c r="E687" s="65"/>
      <c r="F687" s="65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23.25" customHeight="1" x14ac:dyDescent="0.2">
      <c r="A688" s="56"/>
      <c r="B688" s="56"/>
      <c r="C688" s="56"/>
      <c r="D688" s="56"/>
      <c r="E688" s="65"/>
      <c r="F688" s="65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23.25" customHeight="1" x14ac:dyDescent="0.2">
      <c r="A689" s="56"/>
      <c r="B689" s="56"/>
      <c r="C689" s="56"/>
      <c r="D689" s="56"/>
      <c r="E689" s="65"/>
      <c r="F689" s="65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23.25" customHeight="1" x14ac:dyDescent="0.2">
      <c r="A690" s="56"/>
      <c r="B690" s="56"/>
      <c r="C690" s="56"/>
      <c r="D690" s="56"/>
      <c r="E690" s="65"/>
      <c r="F690" s="65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23.25" customHeight="1" x14ac:dyDescent="0.2">
      <c r="A691" s="56"/>
      <c r="B691" s="56"/>
      <c r="C691" s="56"/>
      <c r="D691" s="56"/>
      <c r="E691" s="65"/>
      <c r="F691" s="65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23.25" customHeight="1" x14ac:dyDescent="0.2">
      <c r="A692" s="56"/>
      <c r="B692" s="56"/>
      <c r="C692" s="56"/>
      <c r="D692" s="56"/>
      <c r="E692" s="65"/>
      <c r="F692" s="65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23.25" customHeight="1" x14ac:dyDescent="0.2">
      <c r="A693" s="56"/>
      <c r="B693" s="56"/>
      <c r="C693" s="56"/>
      <c r="D693" s="56"/>
      <c r="E693" s="65"/>
      <c r="F693" s="65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23.25" customHeight="1" x14ac:dyDescent="0.2">
      <c r="A694" s="56"/>
      <c r="B694" s="56"/>
      <c r="C694" s="56"/>
      <c r="D694" s="56"/>
      <c r="E694" s="65"/>
      <c r="F694" s="65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23.25" customHeight="1" x14ac:dyDescent="0.2">
      <c r="A695" s="56"/>
      <c r="B695" s="56"/>
      <c r="C695" s="56"/>
      <c r="D695" s="56"/>
      <c r="E695" s="65"/>
      <c r="F695" s="65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23.25" customHeight="1" x14ac:dyDescent="0.2">
      <c r="A696" s="56"/>
      <c r="B696" s="56"/>
      <c r="C696" s="56"/>
      <c r="D696" s="56"/>
      <c r="E696" s="65"/>
      <c r="F696" s="65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23.25" customHeight="1" x14ac:dyDescent="0.2">
      <c r="A697" s="56"/>
      <c r="B697" s="56"/>
      <c r="C697" s="56"/>
      <c r="D697" s="56"/>
      <c r="E697" s="65"/>
      <c r="F697" s="65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23.25" customHeight="1" x14ac:dyDescent="0.2">
      <c r="A698" s="56"/>
      <c r="B698" s="56"/>
      <c r="C698" s="56"/>
      <c r="D698" s="56"/>
      <c r="E698" s="65"/>
      <c r="F698" s="65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23.25" customHeight="1" x14ac:dyDescent="0.2">
      <c r="A699" s="56"/>
      <c r="B699" s="56"/>
      <c r="C699" s="56"/>
      <c r="D699" s="56"/>
      <c r="E699" s="65"/>
      <c r="F699" s="65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23.25" customHeight="1" x14ac:dyDescent="0.2">
      <c r="A700" s="56"/>
      <c r="B700" s="56"/>
      <c r="C700" s="56"/>
      <c r="D700" s="56"/>
      <c r="E700" s="65"/>
      <c r="F700" s="65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23.25" customHeight="1" x14ac:dyDescent="0.2">
      <c r="A701" s="56"/>
      <c r="B701" s="56"/>
      <c r="C701" s="56"/>
      <c r="D701" s="56"/>
      <c r="E701" s="65"/>
      <c r="F701" s="65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23.25" customHeight="1" x14ac:dyDescent="0.2">
      <c r="A702" s="56"/>
      <c r="B702" s="56"/>
      <c r="C702" s="56"/>
      <c r="D702" s="56"/>
      <c r="E702" s="65"/>
      <c r="F702" s="65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23.25" customHeight="1" x14ac:dyDescent="0.2">
      <c r="A703" s="56"/>
      <c r="B703" s="56"/>
      <c r="C703" s="56"/>
      <c r="D703" s="56"/>
      <c r="E703" s="65"/>
      <c r="F703" s="65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23.25" customHeight="1" x14ac:dyDescent="0.2">
      <c r="A704" s="56"/>
      <c r="B704" s="56"/>
      <c r="C704" s="56"/>
      <c r="D704" s="56"/>
      <c r="E704" s="65"/>
      <c r="F704" s="65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23.25" customHeight="1" x14ac:dyDescent="0.2">
      <c r="A705" s="56"/>
      <c r="B705" s="56"/>
      <c r="C705" s="56"/>
      <c r="D705" s="56"/>
      <c r="E705" s="65"/>
      <c r="F705" s="65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23.25" customHeight="1" x14ac:dyDescent="0.2">
      <c r="A706" s="56"/>
      <c r="B706" s="56"/>
      <c r="C706" s="56"/>
      <c r="D706" s="56"/>
      <c r="E706" s="65"/>
      <c r="F706" s="65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23.25" customHeight="1" x14ac:dyDescent="0.2">
      <c r="A707" s="56"/>
      <c r="B707" s="56"/>
      <c r="C707" s="56"/>
      <c r="D707" s="56"/>
      <c r="E707" s="65"/>
      <c r="F707" s="65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23.25" customHeight="1" x14ac:dyDescent="0.2">
      <c r="A708" s="56"/>
      <c r="B708" s="56"/>
      <c r="C708" s="56"/>
      <c r="D708" s="56"/>
      <c r="E708" s="65"/>
      <c r="F708" s="65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23.25" customHeight="1" x14ac:dyDescent="0.2">
      <c r="A709" s="56"/>
      <c r="B709" s="56"/>
      <c r="C709" s="56"/>
      <c r="D709" s="56"/>
      <c r="E709" s="65"/>
      <c r="F709" s="65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23.25" customHeight="1" x14ac:dyDescent="0.2">
      <c r="A710" s="56"/>
      <c r="B710" s="56"/>
      <c r="C710" s="56"/>
      <c r="D710" s="56"/>
      <c r="E710" s="65"/>
      <c r="F710" s="65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23.25" customHeight="1" x14ac:dyDescent="0.2">
      <c r="A711" s="56"/>
      <c r="B711" s="56"/>
      <c r="C711" s="56"/>
      <c r="D711" s="56"/>
      <c r="E711" s="65"/>
      <c r="F711" s="65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23.25" customHeight="1" x14ac:dyDescent="0.2">
      <c r="A712" s="56"/>
      <c r="B712" s="56"/>
      <c r="C712" s="56"/>
      <c r="D712" s="56"/>
      <c r="E712" s="65"/>
      <c r="F712" s="65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23.25" customHeight="1" x14ac:dyDescent="0.2">
      <c r="A713" s="56"/>
      <c r="B713" s="56"/>
      <c r="C713" s="56"/>
      <c r="D713" s="56"/>
      <c r="E713" s="65"/>
      <c r="F713" s="65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23.25" customHeight="1" x14ac:dyDescent="0.2">
      <c r="A714" s="56"/>
      <c r="B714" s="56"/>
      <c r="C714" s="56"/>
      <c r="D714" s="56"/>
      <c r="E714" s="65"/>
      <c r="F714" s="65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23.25" customHeight="1" x14ac:dyDescent="0.2">
      <c r="A715" s="56"/>
      <c r="B715" s="56"/>
      <c r="C715" s="56"/>
      <c r="D715" s="56"/>
      <c r="E715" s="65"/>
      <c r="F715" s="65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23.25" customHeight="1" x14ac:dyDescent="0.2">
      <c r="A716" s="56"/>
      <c r="B716" s="56"/>
      <c r="C716" s="56"/>
      <c r="D716" s="56"/>
      <c r="E716" s="65"/>
      <c r="F716" s="65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23.25" customHeight="1" x14ac:dyDescent="0.2">
      <c r="A717" s="56"/>
      <c r="B717" s="56"/>
      <c r="C717" s="56"/>
      <c r="D717" s="56"/>
      <c r="E717" s="65"/>
      <c r="F717" s="65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23.25" customHeight="1" x14ac:dyDescent="0.2">
      <c r="A718" s="56"/>
      <c r="B718" s="56"/>
      <c r="C718" s="56"/>
      <c r="D718" s="56"/>
      <c r="E718" s="65"/>
      <c r="F718" s="65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23.25" customHeight="1" x14ac:dyDescent="0.2">
      <c r="A719" s="56"/>
      <c r="B719" s="56"/>
      <c r="C719" s="56"/>
      <c r="D719" s="56"/>
      <c r="E719" s="65"/>
      <c r="F719" s="65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23.25" customHeight="1" x14ac:dyDescent="0.2">
      <c r="A720" s="56"/>
      <c r="B720" s="56"/>
      <c r="C720" s="56"/>
      <c r="D720" s="56"/>
      <c r="E720" s="65"/>
      <c r="F720" s="65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23.25" customHeight="1" x14ac:dyDescent="0.2">
      <c r="A721" s="56"/>
      <c r="B721" s="56"/>
      <c r="C721" s="56"/>
      <c r="D721" s="56"/>
      <c r="E721" s="65"/>
      <c r="F721" s="65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23.25" customHeight="1" x14ac:dyDescent="0.2">
      <c r="A722" s="56"/>
      <c r="B722" s="56"/>
      <c r="C722" s="56"/>
      <c r="D722" s="56"/>
      <c r="E722" s="65"/>
      <c r="F722" s="65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23.25" customHeight="1" x14ac:dyDescent="0.2">
      <c r="A723" s="56"/>
      <c r="B723" s="56"/>
      <c r="C723" s="56"/>
      <c r="D723" s="56"/>
      <c r="E723" s="65"/>
      <c r="F723" s="65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23.25" customHeight="1" x14ac:dyDescent="0.2">
      <c r="A724" s="56"/>
      <c r="B724" s="56"/>
      <c r="C724" s="56"/>
      <c r="D724" s="56"/>
      <c r="E724" s="65"/>
      <c r="F724" s="65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23.25" customHeight="1" x14ac:dyDescent="0.2">
      <c r="A725" s="56"/>
      <c r="B725" s="56"/>
      <c r="C725" s="56"/>
      <c r="D725" s="56"/>
      <c r="E725" s="65"/>
      <c r="F725" s="65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23.25" customHeight="1" x14ac:dyDescent="0.2">
      <c r="A726" s="56"/>
      <c r="B726" s="56"/>
      <c r="C726" s="56"/>
      <c r="D726" s="56"/>
      <c r="E726" s="65"/>
      <c r="F726" s="65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23.25" customHeight="1" x14ac:dyDescent="0.2">
      <c r="A727" s="56"/>
      <c r="B727" s="56"/>
      <c r="C727" s="56"/>
      <c r="D727" s="56"/>
      <c r="E727" s="65"/>
      <c r="F727" s="65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23.25" customHeight="1" x14ac:dyDescent="0.2">
      <c r="A728" s="56"/>
      <c r="B728" s="56"/>
      <c r="C728" s="56"/>
      <c r="D728" s="56"/>
      <c r="E728" s="65"/>
      <c r="F728" s="65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23.25" customHeight="1" x14ac:dyDescent="0.2">
      <c r="A729" s="56"/>
      <c r="B729" s="56"/>
      <c r="C729" s="56"/>
      <c r="D729" s="56"/>
      <c r="E729" s="65"/>
      <c r="F729" s="65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23.25" customHeight="1" x14ac:dyDescent="0.2">
      <c r="A730" s="56"/>
      <c r="B730" s="56"/>
      <c r="C730" s="56"/>
      <c r="D730" s="56"/>
      <c r="E730" s="65"/>
      <c r="F730" s="65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23.25" customHeight="1" x14ac:dyDescent="0.2">
      <c r="A731" s="56"/>
      <c r="B731" s="56"/>
      <c r="C731" s="56"/>
      <c r="D731" s="56"/>
      <c r="E731" s="65"/>
      <c r="F731" s="65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23.25" customHeight="1" x14ac:dyDescent="0.2">
      <c r="A732" s="56"/>
      <c r="B732" s="56"/>
      <c r="C732" s="56"/>
      <c r="D732" s="56"/>
      <c r="E732" s="65"/>
      <c r="F732" s="65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23.25" customHeight="1" x14ac:dyDescent="0.2">
      <c r="A733" s="56"/>
      <c r="B733" s="56"/>
      <c r="C733" s="56"/>
      <c r="D733" s="56"/>
      <c r="E733" s="65"/>
      <c r="F733" s="65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23.25" customHeight="1" x14ac:dyDescent="0.2">
      <c r="A734" s="56"/>
      <c r="B734" s="56"/>
      <c r="C734" s="56"/>
      <c r="D734" s="56"/>
      <c r="E734" s="65"/>
      <c r="F734" s="65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23.25" customHeight="1" x14ac:dyDescent="0.2">
      <c r="A735" s="56"/>
      <c r="B735" s="56"/>
      <c r="C735" s="56"/>
      <c r="D735" s="56"/>
      <c r="E735" s="65"/>
      <c r="F735" s="65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23.25" customHeight="1" x14ac:dyDescent="0.2">
      <c r="A736" s="56"/>
      <c r="B736" s="56"/>
      <c r="C736" s="56"/>
      <c r="D736" s="56"/>
      <c r="E736" s="65"/>
      <c r="F736" s="65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23.25" customHeight="1" x14ac:dyDescent="0.2">
      <c r="A737" s="56"/>
      <c r="B737" s="56"/>
      <c r="C737" s="56"/>
      <c r="D737" s="56"/>
      <c r="E737" s="65"/>
      <c r="F737" s="65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23.25" customHeight="1" x14ac:dyDescent="0.2">
      <c r="A738" s="56"/>
      <c r="B738" s="56"/>
      <c r="C738" s="56"/>
      <c r="D738" s="56"/>
      <c r="E738" s="65"/>
      <c r="F738" s="65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23.25" customHeight="1" x14ac:dyDescent="0.2">
      <c r="A739" s="56"/>
      <c r="B739" s="56"/>
      <c r="C739" s="56"/>
      <c r="D739" s="56"/>
      <c r="E739" s="65"/>
      <c r="F739" s="65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23.25" customHeight="1" x14ac:dyDescent="0.2">
      <c r="A740" s="56"/>
      <c r="B740" s="56"/>
      <c r="C740" s="56"/>
      <c r="D740" s="56"/>
      <c r="E740" s="65"/>
      <c r="F740" s="65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23.25" customHeight="1" x14ac:dyDescent="0.2">
      <c r="A741" s="56"/>
      <c r="B741" s="56"/>
      <c r="C741" s="56"/>
      <c r="D741" s="56"/>
      <c r="E741" s="65"/>
      <c r="F741" s="65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23.25" customHeight="1" x14ac:dyDescent="0.2">
      <c r="A742" s="56"/>
      <c r="B742" s="56"/>
      <c r="C742" s="56"/>
      <c r="D742" s="56"/>
      <c r="E742" s="65"/>
      <c r="F742" s="65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23.25" customHeight="1" x14ac:dyDescent="0.2">
      <c r="A743" s="56"/>
      <c r="B743" s="56"/>
      <c r="C743" s="56"/>
      <c r="D743" s="56"/>
      <c r="E743" s="65"/>
      <c r="F743" s="65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23.25" customHeight="1" x14ac:dyDescent="0.2">
      <c r="A744" s="56"/>
      <c r="B744" s="56"/>
      <c r="C744" s="56"/>
      <c r="D744" s="56"/>
      <c r="E744" s="65"/>
      <c r="F744" s="65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23.25" customHeight="1" x14ac:dyDescent="0.2">
      <c r="A745" s="56"/>
      <c r="B745" s="56"/>
      <c r="C745" s="56"/>
      <c r="D745" s="56"/>
      <c r="E745" s="65"/>
      <c r="F745" s="65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23.25" customHeight="1" x14ac:dyDescent="0.2">
      <c r="A746" s="56"/>
      <c r="B746" s="56"/>
      <c r="C746" s="56"/>
      <c r="D746" s="56"/>
      <c r="E746" s="65"/>
      <c r="F746" s="65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23.25" customHeight="1" x14ac:dyDescent="0.2">
      <c r="A747" s="56"/>
      <c r="B747" s="56"/>
      <c r="C747" s="56"/>
      <c r="D747" s="56"/>
      <c r="E747" s="65"/>
      <c r="F747" s="65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23.25" customHeight="1" x14ac:dyDescent="0.2">
      <c r="A748" s="56"/>
      <c r="B748" s="56"/>
      <c r="C748" s="56"/>
      <c r="D748" s="56"/>
      <c r="E748" s="65"/>
      <c r="F748" s="65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23.25" customHeight="1" x14ac:dyDescent="0.2">
      <c r="A749" s="56"/>
      <c r="B749" s="56"/>
      <c r="C749" s="56"/>
      <c r="D749" s="56"/>
      <c r="E749" s="65"/>
      <c r="F749" s="65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23.25" customHeight="1" x14ac:dyDescent="0.2">
      <c r="A750" s="56"/>
      <c r="B750" s="56"/>
      <c r="C750" s="56"/>
      <c r="D750" s="56"/>
      <c r="E750" s="65"/>
      <c r="F750" s="65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23.25" customHeight="1" x14ac:dyDescent="0.2">
      <c r="A751" s="56"/>
      <c r="B751" s="56"/>
      <c r="C751" s="56"/>
      <c r="D751" s="56"/>
      <c r="E751" s="65"/>
      <c r="F751" s="65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23.25" customHeight="1" x14ac:dyDescent="0.2">
      <c r="A752" s="56"/>
      <c r="B752" s="56"/>
      <c r="C752" s="56"/>
      <c r="D752" s="56"/>
      <c r="E752" s="65"/>
      <c r="F752" s="65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23.25" customHeight="1" x14ac:dyDescent="0.2">
      <c r="A753" s="56"/>
      <c r="B753" s="56"/>
      <c r="C753" s="56"/>
      <c r="D753" s="56"/>
      <c r="E753" s="65"/>
      <c r="F753" s="65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23.25" customHeight="1" x14ac:dyDescent="0.2">
      <c r="A754" s="56"/>
      <c r="B754" s="56"/>
      <c r="C754" s="56"/>
      <c r="D754" s="56"/>
      <c r="E754" s="65"/>
      <c r="F754" s="65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23.25" customHeight="1" x14ac:dyDescent="0.2">
      <c r="A755" s="56"/>
      <c r="B755" s="56"/>
      <c r="C755" s="56"/>
      <c r="D755" s="56"/>
      <c r="E755" s="65"/>
      <c r="F755" s="65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23.25" customHeight="1" x14ac:dyDescent="0.2">
      <c r="A756" s="56"/>
      <c r="B756" s="56"/>
      <c r="C756" s="56"/>
      <c r="D756" s="56"/>
      <c r="E756" s="65"/>
      <c r="F756" s="65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23.25" customHeight="1" x14ac:dyDescent="0.2">
      <c r="A757" s="56"/>
      <c r="B757" s="56"/>
      <c r="C757" s="56"/>
      <c r="D757" s="56"/>
      <c r="E757" s="65"/>
      <c r="F757" s="65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23.25" customHeight="1" x14ac:dyDescent="0.2">
      <c r="A758" s="56"/>
      <c r="B758" s="56"/>
      <c r="C758" s="56"/>
      <c r="D758" s="56"/>
      <c r="E758" s="65"/>
      <c r="F758" s="65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23.25" customHeight="1" x14ac:dyDescent="0.2">
      <c r="A759" s="56"/>
      <c r="B759" s="56"/>
      <c r="C759" s="56"/>
      <c r="D759" s="56"/>
      <c r="E759" s="65"/>
      <c r="F759" s="65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23.25" customHeight="1" x14ac:dyDescent="0.2">
      <c r="A760" s="56"/>
      <c r="B760" s="56"/>
      <c r="C760" s="56"/>
      <c r="D760" s="56"/>
      <c r="E760" s="65"/>
      <c r="F760" s="65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23.25" customHeight="1" x14ac:dyDescent="0.2">
      <c r="A761" s="56"/>
      <c r="B761" s="56"/>
      <c r="C761" s="56"/>
      <c r="D761" s="56"/>
      <c r="E761" s="65"/>
      <c r="F761" s="65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23.25" customHeight="1" x14ac:dyDescent="0.2">
      <c r="A762" s="56"/>
      <c r="B762" s="56"/>
      <c r="C762" s="56"/>
      <c r="D762" s="56"/>
      <c r="E762" s="65"/>
      <c r="F762" s="65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23.25" customHeight="1" x14ac:dyDescent="0.2">
      <c r="A763" s="56"/>
      <c r="B763" s="56"/>
      <c r="C763" s="56"/>
      <c r="D763" s="56"/>
      <c r="E763" s="65"/>
      <c r="F763" s="65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23.25" customHeight="1" x14ac:dyDescent="0.2">
      <c r="A764" s="56"/>
      <c r="B764" s="56"/>
      <c r="C764" s="56"/>
      <c r="D764" s="56"/>
      <c r="E764" s="65"/>
      <c r="F764" s="65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23.25" customHeight="1" x14ac:dyDescent="0.2">
      <c r="A765" s="56"/>
      <c r="B765" s="56"/>
      <c r="C765" s="56"/>
      <c r="D765" s="56"/>
      <c r="E765" s="65"/>
      <c r="F765" s="65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23.25" customHeight="1" x14ac:dyDescent="0.2">
      <c r="A766" s="56"/>
      <c r="B766" s="56"/>
      <c r="C766" s="56"/>
      <c r="D766" s="56"/>
      <c r="E766" s="65"/>
      <c r="F766" s="65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23.25" customHeight="1" x14ac:dyDescent="0.2">
      <c r="A767" s="56"/>
      <c r="B767" s="56"/>
      <c r="C767" s="56"/>
      <c r="D767" s="56"/>
      <c r="E767" s="65"/>
      <c r="F767" s="65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23.25" customHeight="1" x14ac:dyDescent="0.2">
      <c r="A768" s="56"/>
      <c r="B768" s="56"/>
      <c r="C768" s="56"/>
      <c r="D768" s="56"/>
      <c r="E768" s="65"/>
      <c r="F768" s="65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23.25" customHeight="1" x14ac:dyDescent="0.2">
      <c r="A769" s="56"/>
      <c r="B769" s="56"/>
      <c r="C769" s="56"/>
      <c r="D769" s="56"/>
      <c r="E769" s="65"/>
      <c r="F769" s="65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23.25" customHeight="1" x14ac:dyDescent="0.2">
      <c r="A770" s="56"/>
      <c r="B770" s="56"/>
      <c r="C770" s="56"/>
      <c r="D770" s="56"/>
      <c r="E770" s="65"/>
      <c r="F770" s="65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23.25" customHeight="1" x14ac:dyDescent="0.2">
      <c r="A771" s="56"/>
      <c r="B771" s="56"/>
      <c r="C771" s="56"/>
      <c r="D771" s="56"/>
      <c r="E771" s="65"/>
      <c r="F771" s="65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23.25" customHeight="1" x14ac:dyDescent="0.2">
      <c r="A772" s="56"/>
      <c r="B772" s="56"/>
      <c r="C772" s="56"/>
      <c r="D772" s="56"/>
      <c r="E772" s="65"/>
      <c r="F772" s="65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23.25" customHeight="1" x14ac:dyDescent="0.2">
      <c r="A773" s="56"/>
      <c r="B773" s="56"/>
      <c r="C773" s="56"/>
      <c r="D773" s="56"/>
      <c r="E773" s="65"/>
      <c r="F773" s="65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23.25" customHeight="1" x14ac:dyDescent="0.2">
      <c r="A774" s="56"/>
      <c r="B774" s="56"/>
      <c r="C774" s="56"/>
      <c r="D774" s="56"/>
      <c r="E774" s="65"/>
      <c r="F774" s="65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23.25" customHeight="1" x14ac:dyDescent="0.2">
      <c r="A775" s="56"/>
      <c r="B775" s="56"/>
      <c r="C775" s="56"/>
      <c r="D775" s="56"/>
      <c r="E775" s="65"/>
      <c r="F775" s="65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23.25" customHeight="1" x14ac:dyDescent="0.2">
      <c r="A776" s="56"/>
      <c r="B776" s="56"/>
      <c r="C776" s="56"/>
      <c r="D776" s="56"/>
      <c r="E776" s="65"/>
      <c r="F776" s="65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23.25" customHeight="1" x14ac:dyDescent="0.2">
      <c r="A777" s="56"/>
      <c r="B777" s="56"/>
      <c r="C777" s="56"/>
      <c r="D777" s="56"/>
      <c r="E777" s="65"/>
      <c r="F777" s="65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23.25" customHeight="1" x14ac:dyDescent="0.2">
      <c r="A778" s="56"/>
      <c r="B778" s="56"/>
      <c r="C778" s="56"/>
      <c r="D778" s="56"/>
      <c r="E778" s="65"/>
      <c r="F778" s="65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23.25" customHeight="1" x14ac:dyDescent="0.2">
      <c r="A779" s="56"/>
      <c r="B779" s="56"/>
      <c r="C779" s="56"/>
      <c r="D779" s="56"/>
      <c r="E779" s="65"/>
      <c r="F779" s="65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23.25" customHeight="1" x14ac:dyDescent="0.2">
      <c r="A780" s="56"/>
      <c r="B780" s="56"/>
      <c r="C780" s="56"/>
      <c r="D780" s="56"/>
      <c r="E780" s="65"/>
      <c r="F780" s="65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23.25" customHeight="1" x14ac:dyDescent="0.2">
      <c r="A781" s="56"/>
      <c r="B781" s="56"/>
      <c r="C781" s="56"/>
      <c r="D781" s="56"/>
      <c r="E781" s="65"/>
      <c r="F781" s="65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23.25" customHeight="1" x14ac:dyDescent="0.2">
      <c r="A782" s="56"/>
      <c r="B782" s="56"/>
      <c r="C782" s="56"/>
      <c r="D782" s="56"/>
      <c r="E782" s="65"/>
      <c r="F782" s="65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23.25" customHeight="1" x14ac:dyDescent="0.2">
      <c r="A783" s="56"/>
      <c r="B783" s="56"/>
      <c r="C783" s="56"/>
      <c r="D783" s="56"/>
      <c r="E783" s="65"/>
      <c r="F783" s="65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23.25" customHeight="1" x14ac:dyDescent="0.2">
      <c r="A784" s="56"/>
      <c r="B784" s="56"/>
      <c r="C784" s="56"/>
      <c r="D784" s="56"/>
      <c r="E784" s="65"/>
      <c r="F784" s="65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23.25" customHeight="1" x14ac:dyDescent="0.2">
      <c r="A785" s="56"/>
      <c r="B785" s="56"/>
      <c r="C785" s="56"/>
      <c r="D785" s="56"/>
      <c r="E785" s="65"/>
      <c r="F785" s="65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23.25" customHeight="1" x14ac:dyDescent="0.2">
      <c r="A786" s="56"/>
      <c r="B786" s="56"/>
      <c r="C786" s="56"/>
      <c r="D786" s="56"/>
      <c r="E786" s="65"/>
      <c r="F786" s="65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23.25" customHeight="1" x14ac:dyDescent="0.2">
      <c r="A787" s="56"/>
      <c r="B787" s="56"/>
      <c r="C787" s="56"/>
      <c r="D787" s="56"/>
      <c r="E787" s="65"/>
      <c r="F787" s="65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23.25" customHeight="1" x14ac:dyDescent="0.2">
      <c r="A788" s="56"/>
      <c r="B788" s="56"/>
      <c r="C788" s="56"/>
      <c r="D788" s="56"/>
      <c r="E788" s="65"/>
      <c r="F788" s="65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23.25" customHeight="1" x14ac:dyDescent="0.2">
      <c r="A789" s="56"/>
      <c r="B789" s="56"/>
      <c r="C789" s="56"/>
      <c r="D789" s="56"/>
      <c r="E789" s="65"/>
      <c r="F789" s="65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23.25" customHeight="1" x14ac:dyDescent="0.2">
      <c r="A790" s="56"/>
      <c r="B790" s="56"/>
      <c r="C790" s="56"/>
      <c r="D790" s="56"/>
      <c r="E790" s="65"/>
      <c r="F790" s="65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23.25" customHeight="1" x14ac:dyDescent="0.2">
      <c r="A791" s="56"/>
      <c r="B791" s="56"/>
      <c r="C791" s="56"/>
      <c r="D791" s="56"/>
      <c r="E791" s="65"/>
      <c r="F791" s="65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23.25" customHeight="1" x14ac:dyDescent="0.2">
      <c r="A792" s="56"/>
      <c r="B792" s="56"/>
      <c r="C792" s="56"/>
      <c r="D792" s="56"/>
      <c r="E792" s="65"/>
      <c r="F792" s="65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23.25" customHeight="1" x14ac:dyDescent="0.2">
      <c r="A793" s="56"/>
      <c r="B793" s="56"/>
      <c r="C793" s="56"/>
      <c r="D793" s="56"/>
      <c r="E793" s="65"/>
      <c r="F793" s="65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23.25" customHeight="1" x14ac:dyDescent="0.2">
      <c r="A794" s="56"/>
      <c r="B794" s="56"/>
      <c r="C794" s="56"/>
      <c r="D794" s="56"/>
      <c r="E794" s="65"/>
      <c r="F794" s="65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23.25" customHeight="1" x14ac:dyDescent="0.2">
      <c r="A795" s="56"/>
      <c r="B795" s="56"/>
      <c r="C795" s="56"/>
      <c r="D795" s="56"/>
      <c r="E795" s="65"/>
      <c r="F795" s="65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23.25" customHeight="1" x14ac:dyDescent="0.2">
      <c r="A796" s="56"/>
      <c r="B796" s="56"/>
      <c r="C796" s="56"/>
      <c r="D796" s="56"/>
      <c r="E796" s="65"/>
      <c r="F796" s="65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23.25" customHeight="1" x14ac:dyDescent="0.2">
      <c r="A797" s="56"/>
      <c r="B797" s="56"/>
      <c r="C797" s="56"/>
      <c r="D797" s="56"/>
      <c r="E797" s="65"/>
      <c r="F797" s="65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23.25" customHeight="1" x14ac:dyDescent="0.2">
      <c r="A798" s="56"/>
      <c r="B798" s="56"/>
      <c r="C798" s="56"/>
      <c r="D798" s="56"/>
      <c r="E798" s="65"/>
      <c r="F798" s="65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23.25" customHeight="1" x14ac:dyDescent="0.2">
      <c r="A799" s="56"/>
      <c r="B799" s="56"/>
      <c r="C799" s="56"/>
      <c r="D799" s="56"/>
      <c r="E799" s="65"/>
      <c r="F799" s="65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23.25" customHeight="1" x14ac:dyDescent="0.2">
      <c r="A800" s="56"/>
      <c r="B800" s="56"/>
      <c r="C800" s="56"/>
      <c r="D800" s="56"/>
      <c r="E800" s="65"/>
      <c r="F800" s="65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23.25" customHeight="1" x14ac:dyDescent="0.2">
      <c r="A801" s="56"/>
      <c r="B801" s="56"/>
      <c r="C801" s="56"/>
      <c r="D801" s="56"/>
      <c r="E801" s="65"/>
      <c r="F801" s="65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23.25" customHeight="1" x14ac:dyDescent="0.2">
      <c r="A802" s="56"/>
      <c r="B802" s="56"/>
      <c r="C802" s="56"/>
      <c r="D802" s="56"/>
      <c r="E802" s="65"/>
      <c r="F802" s="65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23.25" customHeight="1" x14ac:dyDescent="0.2">
      <c r="A803" s="56"/>
      <c r="B803" s="56"/>
      <c r="C803" s="56"/>
      <c r="D803" s="56"/>
      <c r="E803" s="65"/>
      <c r="F803" s="65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23.25" customHeight="1" x14ac:dyDescent="0.2">
      <c r="A804" s="56"/>
      <c r="B804" s="56"/>
      <c r="C804" s="56"/>
      <c r="D804" s="56"/>
      <c r="E804" s="65"/>
      <c r="F804" s="65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23.25" customHeight="1" x14ac:dyDescent="0.2">
      <c r="A805" s="56"/>
      <c r="B805" s="56"/>
      <c r="C805" s="56"/>
      <c r="D805" s="56"/>
      <c r="E805" s="65"/>
      <c r="F805" s="65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23.25" customHeight="1" x14ac:dyDescent="0.2">
      <c r="A806" s="56"/>
      <c r="B806" s="56"/>
      <c r="C806" s="56"/>
      <c r="D806" s="56"/>
      <c r="E806" s="65"/>
      <c r="F806" s="65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23.25" customHeight="1" x14ac:dyDescent="0.2">
      <c r="A807" s="56"/>
      <c r="B807" s="56"/>
      <c r="C807" s="56"/>
      <c r="D807" s="56"/>
      <c r="E807" s="65"/>
      <c r="F807" s="65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23.25" customHeight="1" x14ac:dyDescent="0.2">
      <c r="A808" s="56"/>
      <c r="B808" s="56"/>
      <c r="C808" s="56"/>
      <c r="D808" s="56"/>
      <c r="E808" s="65"/>
      <c r="F808" s="65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23.25" customHeight="1" x14ac:dyDescent="0.2">
      <c r="A809" s="56"/>
      <c r="B809" s="56"/>
      <c r="C809" s="56"/>
      <c r="D809" s="56"/>
      <c r="E809" s="65"/>
      <c r="F809" s="65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23.25" customHeight="1" x14ac:dyDescent="0.2">
      <c r="A810" s="56"/>
      <c r="B810" s="56"/>
      <c r="C810" s="56"/>
      <c r="D810" s="56"/>
      <c r="E810" s="65"/>
      <c r="F810" s="65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23.25" customHeight="1" x14ac:dyDescent="0.2">
      <c r="A811" s="56"/>
      <c r="B811" s="56"/>
      <c r="C811" s="56"/>
      <c r="D811" s="56"/>
      <c r="E811" s="65"/>
      <c r="F811" s="65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23.25" customHeight="1" x14ac:dyDescent="0.2">
      <c r="A812" s="56"/>
      <c r="B812" s="56"/>
      <c r="C812" s="56"/>
      <c r="D812" s="56"/>
      <c r="E812" s="65"/>
      <c r="F812" s="65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23.25" customHeight="1" x14ac:dyDescent="0.2">
      <c r="A813" s="56"/>
      <c r="B813" s="56"/>
      <c r="C813" s="56"/>
      <c r="D813" s="56"/>
      <c r="E813" s="65"/>
      <c r="F813" s="65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23.25" customHeight="1" x14ac:dyDescent="0.2">
      <c r="A814" s="56"/>
      <c r="B814" s="56"/>
      <c r="C814" s="56"/>
      <c r="D814" s="56"/>
      <c r="E814" s="65"/>
      <c r="F814" s="65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23.25" customHeight="1" x14ac:dyDescent="0.2">
      <c r="A815" s="56"/>
      <c r="B815" s="56"/>
      <c r="C815" s="56"/>
      <c r="D815" s="56"/>
      <c r="E815" s="65"/>
      <c r="F815" s="65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23.25" customHeight="1" x14ac:dyDescent="0.2">
      <c r="A816" s="56"/>
      <c r="B816" s="56"/>
      <c r="C816" s="56"/>
      <c r="D816" s="56"/>
      <c r="E816" s="65"/>
      <c r="F816" s="65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23.25" customHeight="1" x14ac:dyDescent="0.2">
      <c r="A817" s="56"/>
      <c r="B817" s="56"/>
      <c r="C817" s="56"/>
      <c r="D817" s="56"/>
      <c r="E817" s="65"/>
      <c r="F817" s="65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23.25" customHeight="1" x14ac:dyDescent="0.2">
      <c r="A818" s="56"/>
      <c r="B818" s="56"/>
      <c r="C818" s="56"/>
      <c r="D818" s="56"/>
      <c r="E818" s="65"/>
      <c r="F818" s="65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23.25" customHeight="1" x14ac:dyDescent="0.2">
      <c r="A819" s="56"/>
      <c r="B819" s="56"/>
      <c r="C819" s="56"/>
      <c r="D819" s="56"/>
      <c r="E819" s="65"/>
      <c r="F819" s="65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23.25" customHeight="1" x14ac:dyDescent="0.2">
      <c r="A820" s="56"/>
      <c r="B820" s="56"/>
      <c r="C820" s="56"/>
      <c r="D820" s="56"/>
      <c r="E820" s="65"/>
      <c r="F820" s="65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23.25" customHeight="1" x14ac:dyDescent="0.2">
      <c r="A821" s="56"/>
      <c r="B821" s="56"/>
      <c r="C821" s="56"/>
      <c r="D821" s="56"/>
      <c r="E821" s="65"/>
      <c r="F821" s="65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23.25" customHeight="1" x14ac:dyDescent="0.2">
      <c r="A822" s="56"/>
      <c r="B822" s="56"/>
      <c r="C822" s="56"/>
      <c r="D822" s="56"/>
      <c r="E822" s="65"/>
      <c r="F822" s="65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23.25" customHeight="1" x14ac:dyDescent="0.2">
      <c r="A823" s="56"/>
      <c r="B823" s="56"/>
      <c r="C823" s="56"/>
      <c r="D823" s="56"/>
      <c r="E823" s="65"/>
      <c r="F823" s="65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23.25" customHeight="1" x14ac:dyDescent="0.2">
      <c r="A824" s="56"/>
      <c r="B824" s="56"/>
      <c r="C824" s="56"/>
      <c r="D824" s="56"/>
      <c r="E824" s="65"/>
      <c r="F824" s="65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23.25" customHeight="1" x14ac:dyDescent="0.2">
      <c r="A825" s="56"/>
      <c r="B825" s="56"/>
      <c r="C825" s="56"/>
      <c r="D825" s="56"/>
      <c r="E825" s="65"/>
      <c r="F825" s="65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23.25" customHeight="1" x14ac:dyDescent="0.2">
      <c r="A826" s="56"/>
      <c r="B826" s="56"/>
      <c r="C826" s="56"/>
      <c r="D826" s="56"/>
      <c r="E826" s="65"/>
      <c r="F826" s="65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23.25" customHeight="1" x14ac:dyDescent="0.2">
      <c r="A827" s="56"/>
      <c r="B827" s="56"/>
      <c r="C827" s="56"/>
      <c r="D827" s="56"/>
      <c r="E827" s="65"/>
      <c r="F827" s="65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23.25" customHeight="1" x14ac:dyDescent="0.2">
      <c r="A828" s="56"/>
      <c r="B828" s="56"/>
      <c r="C828" s="56"/>
      <c r="D828" s="56"/>
      <c r="E828" s="65"/>
      <c r="F828" s="65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23.25" customHeight="1" x14ac:dyDescent="0.2">
      <c r="A829" s="56"/>
      <c r="B829" s="56"/>
      <c r="C829" s="56"/>
      <c r="D829" s="56"/>
      <c r="E829" s="65"/>
      <c r="F829" s="65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23.25" customHeight="1" x14ac:dyDescent="0.2">
      <c r="A830" s="56"/>
      <c r="B830" s="56"/>
      <c r="C830" s="56"/>
      <c r="D830" s="56"/>
      <c r="E830" s="65"/>
      <c r="F830" s="65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23.25" customHeight="1" x14ac:dyDescent="0.2">
      <c r="A831" s="56"/>
      <c r="B831" s="56"/>
      <c r="C831" s="56"/>
      <c r="D831" s="56"/>
      <c r="E831" s="65"/>
      <c r="F831" s="65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23.25" customHeight="1" x14ac:dyDescent="0.2">
      <c r="A832" s="56"/>
      <c r="B832" s="56"/>
      <c r="C832" s="56"/>
      <c r="D832" s="56"/>
      <c r="E832" s="65"/>
      <c r="F832" s="65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23.25" customHeight="1" x14ac:dyDescent="0.2">
      <c r="A833" s="56"/>
      <c r="B833" s="56"/>
      <c r="C833" s="56"/>
      <c r="D833" s="56"/>
      <c r="E833" s="65"/>
      <c r="F833" s="65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23.25" customHeight="1" x14ac:dyDescent="0.2">
      <c r="A834" s="56"/>
      <c r="B834" s="56"/>
      <c r="C834" s="56"/>
      <c r="D834" s="56"/>
      <c r="E834" s="65"/>
      <c r="F834" s="65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23.25" customHeight="1" x14ac:dyDescent="0.2">
      <c r="A835" s="56"/>
      <c r="B835" s="56"/>
      <c r="C835" s="56"/>
      <c r="D835" s="56"/>
      <c r="E835" s="65"/>
      <c r="F835" s="65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23.25" customHeight="1" x14ac:dyDescent="0.2">
      <c r="A836" s="56"/>
      <c r="B836" s="56"/>
      <c r="C836" s="56"/>
      <c r="D836" s="56"/>
      <c r="E836" s="65"/>
      <c r="F836" s="65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23.25" customHeight="1" x14ac:dyDescent="0.2">
      <c r="A837" s="56"/>
      <c r="B837" s="56"/>
      <c r="C837" s="56"/>
      <c r="D837" s="56"/>
      <c r="E837" s="65"/>
      <c r="F837" s="65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23.25" customHeight="1" x14ac:dyDescent="0.2">
      <c r="A838" s="56"/>
      <c r="B838" s="56"/>
      <c r="C838" s="56"/>
      <c r="D838" s="56"/>
      <c r="E838" s="65"/>
      <c r="F838" s="65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23.25" customHeight="1" x14ac:dyDescent="0.2">
      <c r="A839" s="56"/>
      <c r="B839" s="56"/>
      <c r="C839" s="56"/>
      <c r="D839" s="56"/>
      <c r="E839" s="65"/>
      <c r="F839" s="65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23.25" customHeight="1" x14ac:dyDescent="0.2">
      <c r="A840" s="56"/>
      <c r="B840" s="56"/>
      <c r="C840" s="56"/>
      <c r="D840" s="56"/>
      <c r="E840" s="65"/>
      <c r="F840" s="65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23.25" customHeight="1" x14ac:dyDescent="0.2">
      <c r="A841" s="56"/>
      <c r="B841" s="56"/>
      <c r="C841" s="56"/>
      <c r="D841" s="56"/>
      <c r="E841" s="65"/>
      <c r="F841" s="65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23.25" customHeight="1" x14ac:dyDescent="0.2">
      <c r="A842" s="56"/>
      <c r="B842" s="56"/>
      <c r="C842" s="56"/>
      <c r="D842" s="56"/>
      <c r="E842" s="65"/>
      <c r="F842" s="65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23.25" customHeight="1" x14ac:dyDescent="0.2">
      <c r="A843" s="56"/>
      <c r="B843" s="56"/>
      <c r="C843" s="56"/>
      <c r="D843" s="56"/>
      <c r="E843" s="65"/>
      <c r="F843" s="65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23.25" customHeight="1" x14ac:dyDescent="0.2">
      <c r="A844" s="56"/>
      <c r="B844" s="56"/>
      <c r="C844" s="56"/>
      <c r="D844" s="56"/>
      <c r="E844" s="65"/>
      <c r="F844" s="65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23.25" customHeight="1" x14ac:dyDescent="0.2">
      <c r="A845" s="56"/>
      <c r="B845" s="56"/>
      <c r="C845" s="56"/>
      <c r="D845" s="56"/>
      <c r="E845" s="65"/>
      <c r="F845" s="65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23.25" customHeight="1" x14ac:dyDescent="0.2">
      <c r="A846" s="56"/>
      <c r="B846" s="56"/>
      <c r="C846" s="56"/>
      <c r="D846" s="56"/>
      <c r="E846" s="65"/>
      <c r="F846" s="65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23.25" customHeight="1" x14ac:dyDescent="0.2">
      <c r="A847" s="56"/>
      <c r="B847" s="56"/>
      <c r="C847" s="56"/>
      <c r="D847" s="56"/>
      <c r="E847" s="65"/>
      <c r="F847" s="65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23.25" customHeight="1" x14ac:dyDescent="0.2">
      <c r="A848" s="56"/>
      <c r="B848" s="56"/>
      <c r="C848" s="56"/>
      <c r="D848" s="56"/>
      <c r="E848" s="65"/>
      <c r="F848" s="65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23.25" customHeight="1" x14ac:dyDescent="0.2">
      <c r="A849" s="56"/>
      <c r="B849" s="56"/>
      <c r="C849" s="56"/>
      <c r="D849" s="56"/>
      <c r="E849" s="65"/>
      <c r="F849" s="65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23.25" customHeight="1" x14ac:dyDescent="0.2">
      <c r="A850" s="56"/>
      <c r="B850" s="56"/>
      <c r="C850" s="56"/>
      <c r="D850" s="56"/>
      <c r="E850" s="65"/>
      <c r="F850" s="65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23.25" customHeight="1" x14ac:dyDescent="0.2">
      <c r="A851" s="56"/>
      <c r="B851" s="56"/>
      <c r="C851" s="56"/>
      <c r="D851" s="56"/>
      <c r="E851" s="65"/>
      <c r="F851" s="65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23.25" customHeight="1" x14ac:dyDescent="0.2">
      <c r="A852" s="56"/>
      <c r="B852" s="56"/>
      <c r="C852" s="56"/>
      <c r="D852" s="56"/>
      <c r="E852" s="65"/>
      <c r="F852" s="65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23.25" customHeight="1" x14ac:dyDescent="0.2">
      <c r="A853" s="56"/>
      <c r="B853" s="56"/>
      <c r="C853" s="56"/>
      <c r="D853" s="56"/>
      <c r="E853" s="65"/>
      <c r="F853" s="65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23.25" customHeight="1" x14ac:dyDescent="0.2">
      <c r="A854" s="56"/>
      <c r="B854" s="56"/>
      <c r="C854" s="56"/>
      <c r="D854" s="56"/>
      <c r="E854" s="65"/>
      <c r="F854" s="65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23.25" customHeight="1" x14ac:dyDescent="0.2">
      <c r="A855" s="56"/>
      <c r="B855" s="56"/>
      <c r="C855" s="56"/>
      <c r="D855" s="56"/>
      <c r="E855" s="65"/>
      <c r="F855" s="65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23.25" customHeight="1" x14ac:dyDescent="0.2">
      <c r="A856" s="56"/>
      <c r="B856" s="56"/>
      <c r="C856" s="56"/>
      <c r="D856" s="56"/>
      <c r="E856" s="65"/>
      <c r="F856" s="65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23.25" customHeight="1" x14ac:dyDescent="0.2">
      <c r="A857" s="56"/>
      <c r="B857" s="56"/>
      <c r="C857" s="56"/>
      <c r="D857" s="56"/>
      <c r="E857" s="65"/>
      <c r="F857" s="65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23.25" customHeight="1" x14ac:dyDescent="0.2">
      <c r="A858" s="56"/>
      <c r="B858" s="56"/>
      <c r="C858" s="56"/>
      <c r="D858" s="56"/>
      <c r="E858" s="65"/>
      <c r="F858" s="65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23.25" customHeight="1" x14ac:dyDescent="0.2">
      <c r="A859" s="56"/>
      <c r="B859" s="56"/>
      <c r="C859" s="56"/>
      <c r="D859" s="56"/>
      <c r="E859" s="65"/>
      <c r="F859" s="65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23.25" customHeight="1" x14ac:dyDescent="0.2">
      <c r="A860" s="56"/>
      <c r="B860" s="56"/>
      <c r="C860" s="56"/>
      <c r="D860" s="56"/>
      <c r="E860" s="65"/>
      <c r="F860" s="65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23.25" customHeight="1" x14ac:dyDescent="0.2">
      <c r="A861" s="56"/>
      <c r="B861" s="56"/>
      <c r="C861" s="56"/>
      <c r="D861" s="56"/>
      <c r="E861" s="65"/>
      <c r="F861" s="65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23.25" customHeight="1" x14ac:dyDescent="0.2">
      <c r="A862" s="56"/>
      <c r="B862" s="56"/>
      <c r="C862" s="56"/>
      <c r="D862" s="56"/>
      <c r="E862" s="65"/>
      <c r="F862" s="65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23.25" customHeight="1" x14ac:dyDescent="0.2">
      <c r="A863" s="56"/>
      <c r="B863" s="56"/>
      <c r="C863" s="56"/>
      <c r="D863" s="56"/>
      <c r="E863" s="65"/>
      <c r="F863" s="65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23.25" customHeight="1" x14ac:dyDescent="0.2">
      <c r="A864" s="56"/>
      <c r="B864" s="56"/>
      <c r="C864" s="56"/>
      <c r="D864" s="56"/>
      <c r="E864" s="65"/>
      <c r="F864" s="65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23.25" customHeight="1" x14ac:dyDescent="0.2">
      <c r="A865" s="56"/>
      <c r="B865" s="56"/>
      <c r="C865" s="56"/>
      <c r="D865" s="56"/>
      <c r="E865" s="65"/>
      <c r="F865" s="65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23.25" customHeight="1" x14ac:dyDescent="0.2">
      <c r="A866" s="56"/>
      <c r="B866" s="56"/>
      <c r="C866" s="56"/>
      <c r="D866" s="56"/>
      <c r="E866" s="65"/>
      <c r="F866" s="65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23.25" customHeight="1" x14ac:dyDescent="0.2">
      <c r="A867" s="56"/>
      <c r="B867" s="56"/>
      <c r="C867" s="56"/>
      <c r="D867" s="56"/>
      <c r="E867" s="65"/>
      <c r="F867" s="65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23.25" customHeight="1" x14ac:dyDescent="0.2">
      <c r="A868" s="56"/>
      <c r="B868" s="56"/>
      <c r="C868" s="56"/>
      <c r="D868" s="56"/>
      <c r="E868" s="65"/>
      <c r="F868" s="65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23.25" customHeight="1" x14ac:dyDescent="0.2">
      <c r="A869" s="56"/>
      <c r="B869" s="56"/>
      <c r="C869" s="56"/>
      <c r="D869" s="56"/>
      <c r="E869" s="65"/>
      <c r="F869" s="65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23.25" customHeight="1" x14ac:dyDescent="0.2">
      <c r="A870" s="56"/>
      <c r="B870" s="56"/>
      <c r="C870" s="56"/>
      <c r="D870" s="56"/>
      <c r="E870" s="65"/>
      <c r="F870" s="65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23.25" customHeight="1" x14ac:dyDescent="0.2">
      <c r="A871" s="56"/>
      <c r="B871" s="56"/>
      <c r="C871" s="56"/>
      <c r="D871" s="56"/>
      <c r="E871" s="65"/>
      <c r="F871" s="65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23.25" customHeight="1" x14ac:dyDescent="0.2">
      <c r="A872" s="56"/>
      <c r="B872" s="56"/>
      <c r="C872" s="56"/>
      <c r="D872" s="56"/>
      <c r="E872" s="65"/>
      <c r="F872" s="65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23.25" customHeight="1" x14ac:dyDescent="0.2">
      <c r="A873" s="56"/>
      <c r="B873" s="56"/>
      <c r="C873" s="56"/>
      <c r="D873" s="56"/>
      <c r="E873" s="65"/>
      <c r="F873" s="65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23.25" customHeight="1" x14ac:dyDescent="0.2">
      <c r="A874" s="56"/>
      <c r="B874" s="56"/>
      <c r="C874" s="56"/>
      <c r="D874" s="56"/>
      <c r="E874" s="65"/>
      <c r="F874" s="65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23.25" customHeight="1" x14ac:dyDescent="0.2">
      <c r="A875" s="56"/>
      <c r="B875" s="56"/>
      <c r="C875" s="56"/>
      <c r="D875" s="56"/>
      <c r="E875" s="65"/>
      <c r="F875" s="65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23.25" customHeight="1" x14ac:dyDescent="0.2">
      <c r="A876" s="56"/>
      <c r="B876" s="56"/>
      <c r="C876" s="56"/>
      <c r="D876" s="56"/>
      <c r="E876" s="65"/>
      <c r="F876" s="65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23.25" customHeight="1" x14ac:dyDescent="0.2">
      <c r="A877" s="56"/>
      <c r="B877" s="56"/>
      <c r="C877" s="56"/>
      <c r="D877" s="56"/>
      <c r="E877" s="65"/>
      <c r="F877" s="65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23.25" customHeight="1" x14ac:dyDescent="0.2">
      <c r="A878" s="56"/>
      <c r="B878" s="56"/>
      <c r="C878" s="56"/>
      <c r="D878" s="56"/>
      <c r="E878" s="65"/>
      <c r="F878" s="65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23.25" customHeight="1" x14ac:dyDescent="0.2">
      <c r="A879" s="56"/>
      <c r="B879" s="56"/>
      <c r="C879" s="56"/>
      <c r="D879" s="56"/>
      <c r="E879" s="65"/>
      <c r="F879" s="65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23.25" customHeight="1" x14ac:dyDescent="0.2">
      <c r="A880" s="56"/>
      <c r="B880" s="56"/>
      <c r="C880" s="56"/>
      <c r="D880" s="56"/>
      <c r="E880" s="65"/>
      <c r="F880" s="65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23.25" customHeight="1" x14ac:dyDescent="0.2">
      <c r="A881" s="56"/>
      <c r="B881" s="56"/>
      <c r="C881" s="56"/>
      <c r="D881" s="56"/>
      <c r="E881" s="65"/>
      <c r="F881" s="65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23.25" customHeight="1" x14ac:dyDescent="0.2">
      <c r="A882" s="56"/>
      <c r="B882" s="56"/>
      <c r="C882" s="56"/>
      <c r="D882" s="56"/>
      <c r="E882" s="65"/>
      <c r="F882" s="65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23.25" customHeight="1" x14ac:dyDescent="0.2">
      <c r="A883" s="56"/>
      <c r="B883" s="56"/>
      <c r="C883" s="56"/>
      <c r="D883" s="56"/>
      <c r="E883" s="65"/>
      <c r="F883" s="65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23.25" customHeight="1" x14ac:dyDescent="0.2">
      <c r="A884" s="56"/>
      <c r="B884" s="56"/>
      <c r="C884" s="56"/>
      <c r="D884" s="56"/>
      <c r="E884" s="65"/>
      <c r="F884" s="65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23.25" customHeight="1" x14ac:dyDescent="0.2">
      <c r="A885" s="56"/>
      <c r="B885" s="56"/>
      <c r="C885" s="56"/>
      <c r="D885" s="56"/>
      <c r="E885" s="65"/>
      <c r="F885" s="65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23.25" customHeight="1" x14ac:dyDescent="0.2">
      <c r="A886" s="56"/>
      <c r="B886" s="56"/>
      <c r="C886" s="56"/>
      <c r="D886" s="56"/>
      <c r="E886" s="65"/>
      <c r="F886" s="65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23.25" customHeight="1" x14ac:dyDescent="0.2">
      <c r="A887" s="56"/>
      <c r="B887" s="56"/>
      <c r="C887" s="56"/>
      <c r="D887" s="56"/>
      <c r="E887" s="65"/>
      <c r="F887" s="65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23.25" customHeight="1" x14ac:dyDescent="0.2">
      <c r="A888" s="56"/>
      <c r="B888" s="56"/>
      <c r="C888" s="56"/>
      <c r="D888" s="56"/>
      <c r="E888" s="65"/>
      <c r="F888" s="65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23.25" customHeight="1" x14ac:dyDescent="0.2">
      <c r="A889" s="56"/>
      <c r="B889" s="56"/>
      <c r="C889" s="56"/>
      <c r="D889" s="56"/>
      <c r="E889" s="65"/>
      <c r="F889" s="65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23.25" customHeight="1" x14ac:dyDescent="0.2">
      <c r="A890" s="56"/>
      <c r="B890" s="56"/>
      <c r="C890" s="56"/>
      <c r="D890" s="56"/>
      <c r="E890" s="65"/>
      <c r="F890" s="65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23.25" customHeight="1" x14ac:dyDescent="0.2">
      <c r="A891" s="56"/>
      <c r="B891" s="56"/>
      <c r="C891" s="56"/>
      <c r="D891" s="56"/>
      <c r="E891" s="65"/>
      <c r="F891" s="65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23.25" customHeight="1" x14ac:dyDescent="0.2">
      <c r="A892" s="56"/>
      <c r="B892" s="56"/>
      <c r="C892" s="56"/>
      <c r="D892" s="56"/>
      <c r="E892" s="65"/>
      <c r="F892" s="65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23.25" customHeight="1" x14ac:dyDescent="0.2">
      <c r="A893" s="56"/>
      <c r="B893" s="56"/>
      <c r="C893" s="56"/>
      <c r="D893" s="56"/>
      <c r="E893" s="65"/>
      <c r="F893" s="65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23.25" customHeight="1" x14ac:dyDescent="0.2">
      <c r="A894" s="56"/>
      <c r="B894" s="56"/>
      <c r="C894" s="56"/>
      <c r="D894" s="56"/>
      <c r="E894" s="65"/>
      <c r="F894" s="65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23.25" customHeight="1" x14ac:dyDescent="0.2">
      <c r="A895" s="56"/>
      <c r="B895" s="56"/>
      <c r="C895" s="56"/>
      <c r="D895" s="56"/>
      <c r="E895" s="65"/>
      <c r="F895" s="65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23.25" customHeight="1" x14ac:dyDescent="0.2">
      <c r="A896" s="56"/>
      <c r="B896" s="56"/>
      <c r="C896" s="56"/>
      <c r="D896" s="56"/>
      <c r="E896" s="65"/>
      <c r="F896" s="65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23.25" customHeight="1" x14ac:dyDescent="0.2">
      <c r="A897" s="56"/>
      <c r="B897" s="56"/>
      <c r="C897" s="56"/>
      <c r="D897" s="56"/>
      <c r="E897" s="65"/>
      <c r="F897" s="65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23.25" customHeight="1" x14ac:dyDescent="0.2">
      <c r="A898" s="56"/>
      <c r="B898" s="56"/>
      <c r="C898" s="56"/>
      <c r="D898" s="56"/>
      <c r="E898" s="65"/>
      <c r="F898" s="65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23.25" customHeight="1" x14ac:dyDescent="0.2">
      <c r="A899" s="56"/>
      <c r="B899" s="56"/>
      <c r="C899" s="56"/>
      <c r="D899" s="56"/>
      <c r="E899" s="65"/>
      <c r="F899" s="65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23.25" customHeight="1" x14ac:dyDescent="0.2">
      <c r="A900" s="56"/>
      <c r="B900" s="56"/>
      <c r="C900" s="56"/>
      <c r="D900" s="56"/>
      <c r="E900" s="65"/>
      <c r="F900" s="65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23.25" customHeight="1" x14ac:dyDescent="0.2">
      <c r="A901" s="56"/>
      <c r="B901" s="56"/>
      <c r="C901" s="56"/>
      <c r="D901" s="56"/>
      <c r="E901" s="65"/>
      <c r="F901" s="65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23.25" customHeight="1" x14ac:dyDescent="0.2">
      <c r="A902" s="56"/>
      <c r="B902" s="56"/>
      <c r="C902" s="56"/>
      <c r="D902" s="56"/>
      <c r="E902" s="65"/>
      <c r="F902" s="65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23.25" customHeight="1" x14ac:dyDescent="0.2">
      <c r="A903" s="56"/>
      <c r="B903" s="56"/>
      <c r="C903" s="56"/>
      <c r="D903" s="56"/>
      <c r="E903" s="65"/>
      <c r="F903" s="65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23.25" customHeight="1" x14ac:dyDescent="0.2">
      <c r="A904" s="56"/>
      <c r="B904" s="56"/>
      <c r="C904" s="56"/>
      <c r="D904" s="56"/>
      <c r="E904" s="65"/>
      <c r="F904" s="65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23.25" customHeight="1" x14ac:dyDescent="0.2">
      <c r="A905" s="56"/>
      <c r="B905" s="56"/>
      <c r="C905" s="56"/>
      <c r="D905" s="56"/>
      <c r="E905" s="65"/>
      <c r="F905" s="65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23.25" customHeight="1" x14ac:dyDescent="0.2">
      <c r="A906" s="56"/>
      <c r="B906" s="56"/>
      <c r="C906" s="56"/>
      <c r="D906" s="56"/>
      <c r="E906" s="65"/>
      <c r="F906" s="65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23.25" customHeight="1" x14ac:dyDescent="0.2">
      <c r="A907" s="56"/>
      <c r="B907" s="56"/>
      <c r="C907" s="56"/>
      <c r="D907" s="56"/>
      <c r="E907" s="65"/>
      <c r="F907" s="65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23.25" customHeight="1" x14ac:dyDescent="0.2">
      <c r="A908" s="56"/>
      <c r="B908" s="56"/>
      <c r="C908" s="56"/>
      <c r="D908" s="56"/>
      <c r="E908" s="65"/>
      <c r="F908" s="65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23.25" customHeight="1" x14ac:dyDescent="0.2">
      <c r="A909" s="56"/>
      <c r="B909" s="56"/>
      <c r="C909" s="56"/>
      <c r="D909" s="56"/>
      <c r="E909" s="65"/>
      <c r="F909" s="65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23.25" customHeight="1" x14ac:dyDescent="0.2">
      <c r="A910" s="56"/>
      <c r="B910" s="56"/>
      <c r="C910" s="56"/>
      <c r="D910" s="56"/>
      <c r="E910" s="65"/>
      <c r="F910" s="65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23.25" customHeight="1" x14ac:dyDescent="0.2">
      <c r="A911" s="56"/>
      <c r="B911" s="56"/>
      <c r="C911" s="56"/>
      <c r="D911" s="56"/>
      <c r="E911" s="65"/>
      <c r="F911" s="65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23.25" customHeight="1" x14ac:dyDescent="0.2">
      <c r="A912" s="56"/>
      <c r="B912" s="56"/>
      <c r="C912" s="56"/>
      <c r="D912" s="56"/>
      <c r="E912" s="65"/>
      <c r="F912" s="65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23.25" customHeight="1" x14ac:dyDescent="0.2">
      <c r="A913" s="56"/>
      <c r="B913" s="56"/>
      <c r="C913" s="56"/>
      <c r="D913" s="56"/>
      <c r="E913" s="65"/>
      <c r="F913" s="65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23.25" customHeight="1" x14ac:dyDescent="0.2">
      <c r="A914" s="56"/>
      <c r="B914" s="56"/>
      <c r="C914" s="56"/>
      <c r="D914" s="56"/>
      <c r="E914" s="65"/>
      <c r="F914" s="65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23.25" customHeight="1" x14ac:dyDescent="0.2">
      <c r="A915" s="56"/>
      <c r="B915" s="56"/>
      <c r="C915" s="56"/>
      <c r="D915" s="56"/>
      <c r="E915" s="65"/>
      <c r="F915" s="65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23.25" customHeight="1" x14ac:dyDescent="0.2">
      <c r="A916" s="56"/>
      <c r="B916" s="56"/>
      <c r="C916" s="56"/>
      <c r="D916" s="56"/>
      <c r="E916" s="65"/>
      <c r="F916" s="65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23.25" customHeight="1" x14ac:dyDescent="0.2">
      <c r="A917" s="56"/>
      <c r="B917" s="56"/>
      <c r="C917" s="56"/>
      <c r="D917" s="56"/>
      <c r="E917" s="65"/>
      <c r="F917" s="65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23.25" customHeight="1" x14ac:dyDescent="0.2">
      <c r="A918" s="56"/>
      <c r="B918" s="56"/>
      <c r="C918" s="56"/>
      <c r="D918" s="56"/>
      <c r="E918" s="65"/>
      <c r="F918" s="65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23.25" customHeight="1" x14ac:dyDescent="0.2">
      <c r="A919" s="56"/>
      <c r="B919" s="56"/>
      <c r="C919" s="56"/>
      <c r="D919" s="56"/>
      <c r="E919" s="65"/>
      <c r="F919" s="65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23.25" customHeight="1" x14ac:dyDescent="0.2">
      <c r="A920" s="56"/>
      <c r="B920" s="56"/>
      <c r="C920" s="56"/>
      <c r="D920" s="56"/>
      <c r="E920" s="65"/>
      <c r="F920" s="65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23.25" customHeight="1" x14ac:dyDescent="0.2">
      <c r="A921" s="56"/>
      <c r="B921" s="56"/>
      <c r="C921" s="56"/>
      <c r="D921" s="56"/>
      <c r="E921" s="65"/>
      <c r="F921" s="65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23.25" customHeight="1" x14ac:dyDescent="0.2">
      <c r="A922" s="56"/>
      <c r="B922" s="56"/>
      <c r="C922" s="56"/>
      <c r="D922" s="56"/>
      <c r="E922" s="65"/>
      <c r="F922" s="65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23.25" customHeight="1" x14ac:dyDescent="0.2">
      <c r="A923" s="56"/>
      <c r="B923" s="56"/>
      <c r="C923" s="56"/>
      <c r="D923" s="56"/>
      <c r="E923" s="65"/>
      <c r="F923" s="65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23.25" customHeight="1" x14ac:dyDescent="0.2">
      <c r="A924" s="56"/>
      <c r="B924" s="56"/>
      <c r="C924" s="56"/>
      <c r="D924" s="56"/>
      <c r="E924" s="65"/>
      <c r="F924" s="65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23.25" customHeight="1" x14ac:dyDescent="0.2">
      <c r="A925" s="56"/>
      <c r="B925" s="56"/>
      <c r="C925" s="56"/>
      <c r="D925" s="56"/>
      <c r="E925" s="65"/>
      <c r="F925" s="65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23.25" customHeight="1" x14ac:dyDescent="0.2">
      <c r="A926" s="56"/>
      <c r="B926" s="56"/>
      <c r="C926" s="56"/>
      <c r="D926" s="56"/>
      <c r="E926" s="65"/>
      <c r="F926" s="65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23.25" customHeight="1" x14ac:dyDescent="0.2">
      <c r="A927" s="56"/>
      <c r="B927" s="56"/>
      <c r="C927" s="56"/>
      <c r="D927" s="56"/>
      <c r="E927" s="65"/>
      <c r="F927" s="65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23.25" customHeight="1" x14ac:dyDescent="0.2">
      <c r="A928" s="56"/>
      <c r="B928" s="56"/>
      <c r="C928" s="56"/>
      <c r="D928" s="56"/>
      <c r="E928" s="65"/>
      <c r="F928" s="65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23.25" customHeight="1" x14ac:dyDescent="0.2">
      <c r="A929" s="56"/>
      <c r="B929" s="56"/>
      <c r="C929" s="56"/>
      <c r="D929" s="56"/>
      <c r="E929" s="65"/>
      <c r="F929" s="65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23.25" customHeight="1" x14ac:dyDescent="0.2">
      <c r="A930" s="56"/>
      <c r="B930" s="56"/>
      <c r="C930" s="56"/>
      <c r="D930" s="56"/>
      <c r="E930" s="65"/>
      <c r="F930" s="65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23.25" customHeight="1" x14ac:dyDescent="0.2">
      <c r="A931" s="56"/>
      <c r="B931" s="56"/>
      <c r="C931" s="56"/>
      <c r="D931" s="56"/>
      <c r="E931" s="65"/>
      <c r="F931" s="65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23.25" customHeight="1" x14ac:dyDescent="0.2">
      <c r="A932" s="56"/>
      <c r="B932" s="56"/>
      <c r="C932" s="56"/>
      <c r="D932" s="56"/>
      <c r="E932" s="65"/>
      <c r="F932" s="65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23.25" customHeight="1" x14ac:dyDescent="0.2">
      <c r="A933" s="56"/>
      <c r="B933" s="56"/>
      <c r="C933" s="56"/>
      <c r="D933" s="56"/>
      <c r="E933" s="65"/>
      <c r="F933" s="65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23.25" customHeight="1" x14ac:dyDescent="0.2">
      <c r="A934" s="56"/>
      <c r="B934" s="56"/>
      <c r="C934" s="56"/>
      <c r="D934" s="56"/>
      <c r="E934" s="65"/>
      <c r="F934" s="65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23.25" customHeight="1" x14ac:dyDescent="0.2">
      <c r="A935" s="56"/>
      <c r="B935" s="56"/>
      <c r="C935" s="56"/>
      <c r="D935" s="56"/>
      <c r="E935" s="65"/>
      <c r="F935" s="65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23.25" customHeight="1" x14ac:dyDescent="0.2">
      <c r="A936" s="56"/>
      <c r="B936" s="56"/>
      <c r="C936" s="56"/>
      <c r="D936" s="56"/>
      <c r="E936" s="65"/>
      <c r="F936" s="65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23.25" customHeight="1" x14ac:dyDescent="0.2">
      <c r="A937" s="56"/>
      <c r="B937" s="56"/>
      <c r="C937" s="56"/>
      <c r="D937" s="56"/>
      <c r="E937" s="65"/>
      <c r="F937" s="65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23.25" customHeight="1" x14ac:dyDescent="0.2">
      <c r="A938" s="56"/>
      <c r="B938" s="56"/>
      <c r="C938" s="56"/>
      <c r="D938" s="56"/>
      <c r="E938" s="65"/>
      <c r="F938" s="65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23.25" customHeight="1" x14ac:dyDescent="0.2">
      <c r="A939" s="56"/>
      <c r="B939" s="56"/>
      <c r="C939" s="56"/>
      <c r="D939" s="56"/>
      <c r="E939" s="65"/>
      <c r="F939" s="65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23.25" customHeight="1" x14ac:dyDescent="0.2">
      <c r="A940" s="56"/>
      <c r="B940" s="56"/>
      <c r="C940" s="56"/>
      <c r="D940" s="56"/>
      <c r="E940" s="65"/>
      <c r="F940" s="65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23.25" customHeight="1" x14ac:dyDescent="0.2">
      <c r="A941" s="56"/>
      <c r="B941" s="56"/>
      <c r="C941" s="56"/>
      <c r="D941" s="56"/>
      <c r="E941" s="65"/>
      <c r="F941" s="65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23.25" customHeight="1" x14ac:dyDescent="0.2">
      <c r="A942" s="56"/>
      <c r="B942" s="56"/>
      <c r="C942" s="56"/>
      <c r="D942" s="56"/>
      <c r="E942" s="65"/>
      <c r="F942" s="65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23.25" customHeight="1" x14ac:dyDescent="0.2">
      <c r="A943" s="56"/>
      <c r="B943" s="56"/>
      <c r="C943" s="56"/>
      <c r="D943" s="56"/>
      <c r="E943" s="65"/>
      <c r="F943" s="65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23.25" customHeight="1" x14ac:dyDescent="0.2">
      <c r="A944" s="56"/>
      <c r="B944" s="56"/>
      <c r="C944" s="56"/>
      <c r="D944" s="56"/>
      <c r="E944" s="65"/>
      <c r="F944" s="65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23.25" customHeight="1" x14ac:dyDescent="0.2">
      <c r="A945" s="56"/>
      <c r="B945" s="56"/>
      <c r="C945" s="56"/>
      <c r="D945" s="56"/>
      <c r="E945" s="65"/>
      <c r="F945" s="65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23.25" customHeight="1" x14ac:dyDescent="0.2">
      <c r="A946" s="56"/>
      <c r="B946" s="56"/>
      <c r="C946" s="56"/>
      <c r="D946" s="56"/>
      <c r="E946" s="65"/>
      <c r="F946" s="65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23.25" customHeight="1" x14ac:dyDescent="0.2">
      <c r="A947" s="56"/>
      <c r="B947" s="56"/>
      <c r="C947" s="56"/>
      <c r="D947" s="56"/>
      <c r="E947" s="65"/>
      <c r="F947" s="65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23.25" customHeight="1" x14ac:dyDescent="0.2">
      <c r="A948" s="56"/>
      <c r="B948" s="56"/>
      <c r="C948" s="56"/>
      <c r="D948" s="56"/>
      <c r="E948" s="65"/>
      <c r="F948" s="65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23.25" customHeight="1" x14ac:dyDescent="0.2">
      <c r="A949" s="56"/>
      <c r="B949" s="56"/>
      <c r="C949" s="56"/>
      <c r="D949" s="56"/>
      <c r="E949" s="65"/>
      <c r="F949" s="65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23.25" customHeight="1" x14ac:dyDescent="0.2">
      <c r="A950" s="56"/>
      <c r="B950" s="56"/>
      <c r="C950" s="56"/>
      <c r="D950" s="56"/>
      <c r="E950" s="65"/>
      <c r="F950" s="65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23.25" customHeight="1" x14ac:dyDescent="0.2">
      <c r="A951" s="56"/>
      <c r="B951" s="56"/>
      <c r="C951" s="56"/>
      <c r="D951" s="56"/>
      <c r="E951" s="65"/>
      <c r="F951" s="65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23.25" customHeight="1" x14ac:dyDescent="0.2">
      <c r="A952" s="56"/>
      <c r="B952" s="56"/>
      <c r="C952" s="56"/>
      <c r="D952" s="56"/>
      <c r="E952" s="65"/>
      <c r="F952" s="65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23.25" customHeight="1" x14ac:dyDescent="0.2">
      <c r="A953" s="56"/>
      <c r="B953" s="56"/>
      <c r="C953" s="56"/>
      <c r="D953" s="56"/>
      <c r="E953" s="65"/>
      <c r="F953" s="65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23.25" customHeight="1" x14ac:dyDescent="0.2">
      <c r="A954" s="56"/>
      <c r="B954" s="56"/>
      <c r="C954" s="56"/>
      <c r="D954" s="56"/>
      <c r="E954" s="65"/>
      <c r="F954" s="65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23.25" customHeight="1" x14ac:dyDescent="0.2">
      <c r="A955" s="56"/>
      <c r="B955" s="56"/>
      <c r="C955" s="56"/>
      <c r="D955" s="56"/>
      <c r="E955" s="65"/>
      <c r="F955" s="65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23.25" customHeight="1" x14ac:dyDescent="0.2">
      <c r="A956" s="56"/>
      <c r="B956" s="56"/>
      <c r="C956" s="56"/>
      <c r="D956" s="56"/>
      <c r="E956" s="65"/>
      <c r="F956" s="65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23.25" customHeight="1" x14ac:dyDescent="0.2">
      <c r="A957" s="56"/>
      <c r="B957" s="56"/>
      <c r="C957" s="56"/>
      <c r="D957" s="56"/>
      <c r="E957" s="65"/>
      <c r="F957" s="65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23.25" customHeight="1" x14ac:dyDescent="0.2">
      <c r="A958" s="56"/>
      <c r="B958" s="56"/>
      <c r="C958" s="56"/>
      <c r="D958" s="56"/>
      <c r="E958" s="65"/>
      <c r="F958" s="65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23.25" customHeight="1" x14ac:dyDescent="0.2">
      <c r="A959" s="56"/>
      <c r="B959" s="56"/>
      <c r="C959" s="56"/>
      <c r="D959" s="56"/>
      <c r="E959" s="65"/>
      <c r="F959" s="65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23.25" customHeight="1" x14ac:dyDescent="0.2">
      <c r="A960" s="56"/>
      <c r="B960" s="56"/>
      <c r="C960" s="56"/>
      <c r="D960" s="56"/>
      <c r="E960" s="65"/>
      <c r="F960" s="65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23.25" customHeight="1" x14ac:dyDescent="0.2">
      <c r="A961" s="56"/>
      <c r="B961" s="56"/>
      <c r="C961" s="56"/>
      <c r="D961" s="56"/>
      <c r="E961" s="65"/>
      <c r="F961" s="65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23.25" customHeight="1" x14ac:dyDescent="0.2">
      <c r="A962" s="56"/>
      <c r="B962" s="56"/>
      <c r="C962" s="56"/>
      <c r="D962" s="56"/>
      <c r="E962" s="65"/>
      <c r="F962" s="65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23.25" customHeight="1" x14ac:dyDescent="0.2">
      <c r="A963" s="56"/>
      <c r="B963" s="56"/>
      <c r="C963" s="56"/>
      <c r="D963" s="56"/>
      <c r="E963" s="65"/>
      <c r="F963" s="65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23.25" customHeight="1" x14ac:dyDescent="0.2">
      <c r="A964" s="56"/>
      <c r="B964" s="56"/>
      <c r="C964" s="56"/>
      <c r="D964" s="56"/>
      <c r="E964" s="65"/>
      <c r="F964" s="65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23.25" customHeight="1" x14ac:dyDescent="0.2">
      <c r="A965" s="56"/>
      <c r="B965" s="56"/>
      <c r="C965" s="56"/>
      <c r="D965" s="56"/>
      <c r="E965" s="65"/>
      <c r="F965" s="65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23.25" customHeight="1" x14ac:dyDescent="0.2">
      <c r="A966" s="56"/>
      <c r="B966" s="56"/>
      <c r="C966" s="56"/>
      <c r="D966" s="56"/>
      <c r="E966" s="65"/>
      <c r="F966" s="65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23.25" customHeight="1" x14ac:dyDescent="0.2">
      <c r="A967" s="56"/>
      <c r="B967" s="56"/>
      <c r="C967" s="56"/>
      <c r="D967" s="56"/>
      <c r="E967" s="65"/>
      <c r="F967" s="65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23.25" customHeight="1" x14ac:dyDescent="0.2">
      <c r="A968" s="56"/>
      <c r="B968" s="56"/>
      <c r="C968" s="56"/>
      <c r="D968" s="56"/>
      <c r="E968" s="65"/>
      <c r="F968" s="65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23.25" customHeight="1" x14ac:dyDescent="0.2">
      <c r="A969" s="56"/>
      <c r="B969" s="56"/>
      <c r="C969" s="56"/>
      <c r="D969" s="56"/>
      <c r="E969" s="65"/>
      <c r="F969" s="65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23.25" customHeight="1" x14ac:dyDescent="0.2">
      <c r="A970" s="56"/>
      <c r="B970" s="56"/>
      <c r="C970" s="56"/>
      <c r="D970" s="56"/>
      <c r="E970" s="65"/>
      <c r="F970" s="65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23.25" customHeight="1" x14ac:dyDescent="0.2">
      <c r="A971" s="56"/>
      <c r="B971" s="56"/>
      <c r="C971" s="56"/>
      <c r="D971" s="56"/>
      <c r="E971" s="65"/>
      <c r="F971" s="65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23.25" customHeight="1" x14ac:dyDescent="0.2">
      <c r="A972" s="56"/>
      <c r="B972" s="56"/>
      <c r="C972" s="56"/>
      <c r="D972" s="56"/>
      <c r="E972" s="65"/>
      <c r="F972" s="65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23.25" customHeight="1" x14ac:dyDescent="0.2">
      <c r="A973" s="56"/>
      <c r="B973" s="56"/>
      <c r="C973" s="56"/>
      <c r="D973" s="56"/>
      <c r="E973" s="65"/>
      <c r="F973" s="65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23.25" customHeight="1" x14ac:dyDescent="0.2">
      <c r="A974" s="56"/>
      <c r="B974" s="56"/>
      <c r="C974" s="56"/>
      <c r="D974" s="56"/>
      <c r="E974" s="65"/>
      <c r="F974" s="65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23.25" customHeight="1" x14ac:dyDescent="0.2">
      <c r="A975" s="56"/>
      <c r="B975" s="56"/>
      <c r="C975" s="56"/>
      <c r="D975" s="56"/>
      <c r="E975" s="65"/>
      <c r="F975" s="65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23.25" customHeight="1" x14ac:dyDescent="0.2">
      <c r="A976" s="56"/>
      <c r="B976" s="56"/>
      <c r="C976" s="56"/>
      <c r="D976" s="56"/>
      <c r="E976" s="65"/>
      <c r="F976" s="65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23.25" customHeight="1" x14ac:dyDescent="0.2">
      <c r="A977" s="56"/>
      <c r="B977" s="56"/>
      <c r="C977" s="56"/>
      <c r="D977" s="56"/>
      <c r="E977" s="65"/>
      <c r="F977" s="65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23.25" customHeight="1" x14ac:dyDescent="0.2">
      <c r="A978" s="56"/>
      <c r="B978" s="56"/>
      <c r="C978" s="56"/>
      <c r="D978" s="56"/>
      <c r="E978" s="65"/>
      <c r="F978" s="65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23.25" customHeight="1" x14ac:dyDescent="0.2">
      <c r="A979" s="56"/>
      <c r="B979" s="56"/>
      <c r="C979" s="56"/>
      <c r="D979" s="56"/>
      <c r="E979" s="65"/>
      <c r="F979" s="65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23.25" customHeight="1" x14ac:dyDescent="0.2">
      <c r="A980" s="56"/>
      <c r="B980" s="56"/>
      <c r="C980" s="56"/>
      <c r="D980" s="56"/>
      <c r="E980" s="65"/>
      <c r="F980" s="65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23.25" customHeight="1" x14ac:dyDescent="0.2">
      <c r="A981" s="56"/>
      <c r="B981" s="56"/>
      <c r="C981" s="56"/>
      <c r="D981" s="56"/>
      <c r="E981" s="65"/>
      <c r="F981" s="65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23.25" customHeight="1" x14ac:dyDescent="0.2">
      <c r="A982" s="56"/>
      <c r="B982" s="56"/>
      <c r="C982" s="56"/>
      <c r="D982" s="56"/>
      <c r="E982" s="65"/>
      <c r="F982" s="65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23.25" customHeight="1" x14ac:dyDescent="0.2">
      <c r="A983" s="56"/>
      <c r="B983" s="56"/>
      <c r="C983" s="56"/>
      <c r="D983" s="56"/>
      <c r="E983" s="65"/>
      <c r="F983" s="65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23.25" customHeight="1" x14ac:dyDescent="0.2">
      <c r="A984" s="56"/>
      <c r="B984" s="56"/>
      <c r="C984" s="56"/>
      <c r="D984" s="56"/>
      <c r="E984" s="65"/>
      <c r="F984" s="65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23.25" customHeight="1" x14ac:dyDescent="0.2">
      <c r="A985" s="56"/>
      <c r="B985" s="56"/>
      <c r="C985" s="56"/>
      <c r="D985" s="56"/>
      <c r="E985" s="65"/>
      <c r="F985" s="65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23.25" customHeight="1" x14ac:dyDescent="0.2">
      <c r="A986" s="56"/>
      <c r="B986" s="56"/>
      <c r="C986" s="56"/>
      <c r="D986" s="56"/>
      <c r="E986" s="65"/>
      <c r="F986" s="65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23.25" customHeight="1" x14ac:dyDescent="0.2">
      <c r="A987" s="56"/>
      <c r="B987" s="56"/>
      <c r="C987" s="56"/>
      <c r="D987" s="56"/>
      <c r="E987" s="65"/>
      <c r="F987" s="65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23.25" customHeight="1" x14ac:dyDescent="0.2">
      <c r="A988" s="56"/>
      <c r="B988" s="56"/>
      <c r="C988" s="56"/>
      <c r="D988" s="56"/>
      <c r="E988" s="65"/>
      <c r="F988" s="65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23.25" customHeight="1" x14ac:dyDescent="0.2">
      <c r="A989" s="56"/>
      <c r="B989" s="56"/>
      <c r="C989" s="56"/>
      <c r="D989" s="56"/>
      <c r="E989" s="65"/>
      <c r="F989" s="65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23.25" customHeight="1" x14ac:dyDescent="0.2">
      <c r="A990" s="56"/>
      <c r="B990" s="56"/>
      <c r="C990" s="56"/>
      <c r="D990" s="56"/>
      <c r="E990" s="65"/>
      <c r="F990" s="65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23.25" customHeight="1" x14ac:dyDescent="0.2">
      <c r="A991" s="56"/>
      <c r="B991" s="56"/>
      <c r="C991" s="56"/>
      <c r="D991" s="56"/>
      <c r="E991" s="65"/>
      <c r="F991" s="65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23.25" customHeight="1" x14ac:dyDescent="0.2">
      <c r="A992" s="56"/>
      <c r="B992" s="56"/>
      <c r="C992" s="56"/>
      <c r="D992" s="56"/>
      <c r="E992" s="65"/>
      <c r="F992" s="65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23.25" customHeight="1" x14ac:dyDescent="0.2">
      <c r="A993" s="56"/>
      <c r="B993" s="56"/>
      <c r="C993" s="56"/>
      <c r="D993" s="56"/>
      <c r="E993" s="65"/>
      <c r="F993" s="65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23.25" customHeight="1" x14ac:dyDescent="0.2">
      <c r="A994" s="56"/>
      <c r="B994" s="56"/>
      <c r="C994" s="56"/>
      <c r="D994" s="56"/>
      <c r="E994" s="65"/>
      <c r="F994" s="65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23.25" customHeight="1" x14ac:dyDescent="0.2">
      <c r="A995" s="56"/>
      <c r="B995" s="56"/>
      <c r="C995" s="56"/>
      <c r="D995" s="56"/>
      <c r="E995" s="65"/>
      <c r="F995" s="65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23.25" customHeight="1" x14ac:dyDescent="0.2">
      <c r="A996" s="56"/>
      <c r="B996" s="56"/>
      <c r="C996" s="56"/>
      <c r="D996" s="56"/>
      <c r="E996" s="65"/>
      <c r="F996" s="65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23.25" customHeight="1" x14ac:dyDescent="0.2">
      <c r="A997" s="56"/>
      <c r="B997" s="56"/>
      <c r="C997" s="56"/>
      <c r="D997" s="56"/>
      <c r="E997" s="65"/>
      <c r="F997" s="65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23.25" customHeight="1" x14ac:dyDescent="0.2">
      <c r="A998" s="56"/>
      <c r="B998" s="56"/>
      <c r="C998" s="56"/>
      <c r="D998" s="56"/>
      <c r="E998" s="65"/>
      <c r="F998" s="65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23.25" customHeight="1" x14ac:dyDescent="0.2">
      <c r="A999" s="56"/>
      <c r="B999" s="56"/>
      <c r="C999" s="56"/>
      <c r="D999" s="56"/>
      <c r="E999" s="65"/>
      <c r="F999" s="65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23.25" customHeight="1" x14ac:dyDescent="0.2">
      <c r="A1000" s="56"/>
      <c r="B1000" s="56"/>
      <c r="C1000" s="56"/>
      <c r="D1000" s="56"/>
      <c r="E1000" s="65"/>
      <c r="F1000" s="65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 spans="1:26" ht="23.25" customHeight="1" x14ac:dyDescent="0.2">
      <c r="A1001" s="56"/>
      <c r="B1001" s="56"/>
      <c r="C1001" s="56"/>
      <c r="D1001" s="56"/>
      <c r="E1001" s="65"/>
      <c r="F1001" s="65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  <row r="1002" spans="1:26" ht="23.25" customHeight="1" x14ac:dyDescent="0.2">
      <c r="A1002" s="56"/>
      <c r="B1002" s="56"/>
      <c r="C1002" s="56"/>
      <c r="D1002" s="56"/>
      <c r="E1002" s="65"/>
      <c r="F1002" s="65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</row>
    <row r="1003" spans="1:26" ht="23.25" customHeight="1" x14ac:dyDescent="0.2">
      <c r="A1003" s="56"/>
      <c r="B1003" s="56"/>
      <c r="C1003" s="56"/>
      <c r="D1003" s="56"/>
      <c r="E1003" s="65"/>
      <c r="F1003" s="65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</row>
  </sheetData>
  <autoFilter ref="A1:F338" xr:uid="{00000000-0009-0000-0000-000002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สูตร</vt:lpstr>
      <vt:lpstr>แหล่งข้อมูล ซัพ ประเทศ ราคา </vt:lpstr>
      <vt:lpstr>แหล่งข้อมูล วัตถุดิบ</vt:lpstr>
      <vt:lpstr>สูตร!Print_Area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Lenovo01</cp:lastModifiedBy>
  <cp:lastPrinted>2025-05-07T04:41:07Z</cp:lastPrinted>
  <dcterms:created xsi:type="dcterms:W3CDTF">2012-10-29T08:12:58Z</dcterms:created>
  <dcterms:modified xsi:type="dcterms:W3CDTF">2026-08-20T08:20:09Z</dcterms:modified>
</cp:coreProperties>
</file>