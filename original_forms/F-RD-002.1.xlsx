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ต้นทุน นฤมล\AI งานบอส\"/>
    </mc:Choice>
  </mc:AlternateContent>
  <xr:revisionPtr revIDLastSave="0" documentId="8_{7AB439DA-7B04-402A-8342-3BFE7661D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คิดต้นทุน สรุป" sheetId="1" r:id="rId1"/>
    <sheet name="Tester" sheetId="2" r:id="rId2"/>
    <sheet name="ส่งตรวจ" sheetId="3" r:id="rId3"/>
  </sheets>
  <calcPr calcId="191029"/>
  <extLst>
    <ext uri="GoogleSheetsCustomDataVersion2">
      <go:sheetsCustomData xmlns:go="http://customooxmlschemas.google.com/" r:id="rId7" roundtripDataChecksum="6XeiMjGvMU+eKguG0fWfv0RdF9gBOuUIp3nmNe71Qbc="/>
    </ext>
  </extLst>
</workbook>
</file>

<file path=xl/calcChain.xml><?xml version="1.0" encoding="utf-8"?>
<calcChain xmlns="http://schemas.openxmlformats.org/spreadsheetml/2006/main">
  <c r="AI49" i="3" l="1"/>
  <c r="AO42" i="3"/>
  <c r="AQ39" i="3"/>
  <c r="AO36" i="3"/>
  <c r="AN36" i="3"/>
  <c r="P36" i="3"/>
  <c r="Z35" i="3" s="1"/>
  <c r="AO35" i="3"/>
  <c r="AQ35" i="3" s="1"/>
  <c r="AE35" i="3"/>
  <c r="V35" i="3"/>
  <c r="AQ34" i="3"/>
  <c r="AO34" i="3"/>
  <c r="AP34" i="3" s="1"/>
  <c r="AE34" i="3"/>
  <c r="Z34" i="3"/>
  <c r="V34" i="3"/>
  <c r="AQ33" i="3"/>
  <c r="AO33" i="3"/>
  <c r="AP33" i="3" s="1"/>
  <c r="AE33" i="3"/>
  <c r="V33" i="3"/>
  <c r="AQ32" i="3"/>
  <c r="AO32" i="3"/>
  <c r="AP32" i="3" s="1"/>
  <c r="AE32" i="3"/>
  <c r="V32" i="3"/>
  <c r="AQ31" i="3"/>
  <c r="AO31" i="3"/>
  <c r="AP31" i="3" s="1"/>
  <c r="AE31" i="3"/>
  <c r="V31" i="3"/>
  <c r="AQ30" i="3"/>
  <c r="AO30" i="3"/>
  <c r="AP30" i="3" s="1"/>
  <c r="AE30" i="3"/>
  <c r="Z30" i="3"/>
  <c r="V30" i="3"/>
  <c r="AQ29" i="3"/>
  <c r="AO29" i="3"/>
  <c r="AP29" i="3" s="1"/>
  <c r="AE29" i="3"/>
  <c r="V29" i="3"/>
  <c r="AO28" i="3"/>
  <c r="AP28" i="3" s="1"/>
  <c r="AE28" i="3"/>
  <c r="V28" i="3"/>
  <c r="AO27" i="3"/>
  <c r="AP27" i="3" s="1"/>
  <c r="AE27" i="3"/>
  <c r="V27" i="3"/>
  <c r="AQ26" i="3"/>
  <c r="AP26" i="3"/>
  <c r="AO26" i="3"/>
  <c r="AE26" i="3"/>
  <c r="V26" i="3"/>
  <c r="AP25" i="3"/>
  <c r="AO25" i="3"/>
  <c r="AQ25" i="3" s="1"/>
  <c r="AE25" i="3"/>
  <c r="V25" i="3"/>
  <c r="AO24" i="3"/>
  <c r="AP24" i="3" s="1"/>
  <c r="AE24" i="3"/>
  <c r="V24" i="3"/>
  <c r="AO23" i="3"/>
  <c r="AP23" i="3" s="1"/>
  <c r="AE23" i="3"/>
  <c r="V23" i="3"/>
  <c r="AO22" i="3"/>
  <c r="AP22" i="3" s="1"/>
  <c r="AE22" i="3"/>
  <c r="V22" i="3"/>
  <c r="AO21" i="3"/>
  <c r="AP21" i="3" s="1"/>
  <c r="AE21" i="3"/>
  <c r="V21" i="3"/>
  <c r="AO20" i="3"/>
  <c r="AP20" i="3" s="1"/>
  <c r="AE20" i="3"/>
  <c r="V20" i="3"/>
  <c r="AO19" i="3"/>
  <c r="AQ19" i="3" s="1"/>
  <c r="AE19" i="3"/>
  <c r="V19" i="3"/>
  <c r="AO18" i="3"/>
  <c r="AQ18" i="3" s="1"/>
  <c r="AE18" i="3"/>
  <c r="V18" i="3"/>
  <c r="AQ17" i="3"/>
  <c r="AO17" i="3"/>
  <c r="AP17" i="3" s="1"/>
  <c r="AE17" i="3"/>
  <c r="Z17" i="3"/>
  <c r="V17" i="3"/>
  <c r="AO16" i="3"/>
  <c r="AP16" i="3" s="1"/>
  <c r="AE16" i="3"/>
  <c r="V16" i="3"/>
  <c r="AI35" i="2"/>
  <c r="AQ29" i="2"/>
  <c r="AO28" i="2"/>
  <c r="AN28" i="2"/>
  <c r="AM28" i="2"/>
  <c r="AM27" i="2"/>
  <c r="AI27" i="2"/>
  <c r="P27" i="2"/>
  <c r="AE27" i="2" s="1"/>
  <c r="D27" i="2"/>
  <c r="AM26" i="2"/>
  <c r="AI26" i="2"/>
  <c r="P26" i="2"/>
  <c r="AO26" i="2" s="1"/>
  <c r="AQ26" i="2" s="1"/>
  <c r="D26" i="2"/>
  <c r="AM25" i="2"/>
  <c r="AI25" i="2"/>
  <c r="AE25" i="2"/>
  <c r="P25" i="2"/>
  <c r="AO25" i="2" s="1"/>
  <c r="D25" i="2"/>
  <c r="AM24" i="2"/>
  <c r="AI24" i="2"/>
  <c r="P24" i="2"/>
  <c r="V24" i="2" s="1"/>
  <c r="D24" i="2"/>
  <c r="AM23" i="2"/>
  <c r="AI23" i="2"/>
  <c r="P23" i="2"/>
  <c r="AO23" i="2" s="1"/>
  <c r="D23" i="2"/>
  <c r="AO22" i="2"/>
  <c r="AQ22" i="2" s="1"/>
  <c r="AM22" i="2"/>
  <c r="AI22" i="2"/>
  <c r="V22" i="2"/>
  <c r="P22" i="2"/>
  <c r="AE22" i="2" s="1"/>
  <c r="D22" i="2"/>
  <c r="AM21" i="2"/>
  <c r="AI21" i="2"/>
  <c r="P21" i="2"/>
  <c r="AO21" i="2" s="1"/>
  <c r="D21" i="2"/>
  <c r="AM20" i="2"/>
  <c r="AI20" i="2"/>
  <c r="P20" i="2"/>
  <c r="AO20" i="2" s="1"/>
  <c r="D20" i="2"/>
  <c r="AM19" i="2"/>
  <c r="AI19" i="2"/>
  <c r="P19" i="2"/>
  <c r="AO19" i="2" s="1"/>
  <c r="D19" i="2"/>
  <c r="AM18" i="2"/>
  <c r="AI18" i="2"/>
  <c r="P18" i="2"/>
  <c r="AO18" i="2" s="1"/>
  <c r="D18" i="2"/>
  <c r="AM17" i="2"/>
  <c r="AI17" i="2"/>
  <c r="P17" i="2"/>
  <c r="AO17" i="2" s="1"/>
  <c r="D17" i="2"/>
  <c r="AO16" i="2"/>
  <c r="AQ16" i="2" s="1"/>
  <c r="AM16" i="2"/>
  <c r="AI16" i="2"/>
  <c r="V16" i="2"/>
  <c r="P16" i="2"/>
  <c r="AE16" i="2" s="1"/>
  <c r="D16" i="2"/>
  <c r="I12" i="2"/>
  <c r="AI41" i="1"/>
  <c r="AO34" i="1"/>
  <c r="O34" i="1"/>
  <c r="AQ31" i="1"/>
  <c r="AP31" i="1"/>
  <c r="AO20" i="1" s="1"/>
  <c r="AQ20" i="1" s="1"/>
  <c r="AN28" i="1"/>
  <c r="P28" i="1"/>
  <c r="Z27" i="1" s="1"/>
  <c r="AE27" i="1"/>
  <c r="V27" i="1"/>
  <c r="AE26" i="1"/>
  <c r="V26" i="1"/>
  <c r="AE25" i="1"/>
  <c r="V25" i="1"/>
  <c r="AO24" i="1"/>
  <c r="AQ24" i="1" s="1"/>
  <c r="AE24" i="1"/>
  <c r="V24" i="1"/>
  <c r="AE20" i="1"/>
  <c r="V20" i="1"/>
  <c r="AE23" i="1"/>
  <c r="V23" i="1"/>
  <c r="AE22" i="1"/>
  <c r="V22" i="1"/>
  <c r="AE21" i="1"/>
  <c r="V21" i="1"/>
  <c r="AE19" i="1"/>
  <c r="V19" i="1"/>
  <c r="AO18" i="1"/>
  <c r="AQ18" i="1" s="1"/>
  <c r="AE18" i="1"/>
  <c r="V18" i="1"/>
  <c r="AE17" i="1"/>
  <c r="V17" i="1"/>
  <c r="AO16" i="1"/>
  <c r="AP16" i="1" s="1"/>
  <c r="AE16" i="1"/>
  <c r="V16" i="1"/>
  <c r="Z16" i="3" l="1"/>
  <c r="Z36" i="3" s="1"/>
  <c r="AQ16" i="3"/>
  <c r="Z18" i="3"/>
  <c r="Z19" i="3"/>
  <c r="Z20" i="3"/>
  <c r="Z21" i="3"/>
  <c r="Z22" i="3"/>
  <c r="Z23" i="3"/>
  <c r="Z32" i="3"/>
  <c r="K41" i="3"/>
  <c r="K43" i="3" s="1"/>
  <c r="Z43" i="3" s="1"/>
  <c r="Z24" i="3"/>
  <c r="Z25" i="3"/>
  <c r="Z27" i="3"/>
  <c r="Z28" i="3"/>
  <c r="Z29" i="3"/>
  <c r="Z33" i="3"/>
  <c r="V36" i="3"/>
  <c r="AQ23" i="3"/>
  <c r="Z26" i="3"/>
  <c r="Z31" i="3"/>
  <c r="V17" i="2"/>
  <c r="AE17" i="2"/>
  <c r="V23" i="2"/>
  <c r="AE20" i="2"/>
  <c r="K33" i="1"/>
  <c r="AE23" i="2"/>
  <c r="AQ20" i="2"/>
  <c r="AP20" i="2"/>
  <c r="AO22" i="1"/>
  <c r="AO24" i="2"/>
  <c r="AQ24" i="2" s="1"/>
  <c r="V26" i="2"/>
  <c r="AO26" i="1"/>
  <c r="AQ26" i="1" s="1"/>
  <c r="AO28" i="1"/>
  <c r="AE18" i="2"/>
  <c r="AE24" i="2"/>
  <c r="AE26" i="2"/>
  <c r="AQ16" i="1"/>
  <c r="AO19" i="1"/>
  <c r="AQ19" i="1" s="1"/>
  <c r="AO25" i="1"/>
  <c r="AQ25" i="1" s="1"/>
  <c r="AO27" i="1"/>
  <c r="V18" i="2"/>
  <c r="AP22" i="2"/>
  <c r="AO17" i="1"/>
  <c r="AQ17" i="1" s="1"/>
  <c r="Z19" i="1"/>
  <c r="AO21" i="1"/>
  <c r="AO23" i="1"/>
  <c r="V20" i="2"/>
  <c r="AE21" i="2"/>
  <c r="Z26" i="1"/>
  <c r="Z16" i="1"/>
  <c r="Z17" i="1"/>
  <c r="Z22" i="1"/>
  <c r="Z24" i="1"/>
  <c r="Z18" i="1"/>
  <c r="K35" i="1"/>
  <c r="P28" i="2"/>
  <c r="Z24" i="2" s="1"/>
  <c r="AE19" i="2"/>
  <c r="AQ18" i="2"/>
  <c r="AP18" i="2"/>
  <c r="AP18" i="1"/>
  <c r="V28" i="1"/>
  <c r="Z23" i="1"/>
  <c r="Z20" i="1"/>
  <c r="Z25" i="1"/>
  <c r="AP16" i="2"/>
  <c r="Z21" i="1"/>
  <c r="AP19" i="2"/>
  <c r="AQ19" i="2"/>
  <c r="AO41" i="3"/>
  <c r="AO43" i="3" s="1"/>
  <c r="AO44" i="3" s="1"/>
  <c r="AP21" i="2"/>
  <c r="AQ21" i="2"/>
  <c r="AP17" i="2"/>
  <c r="AQ17" i="2"/>
  <c r="AP23" i="2"/>
  <c r="AQ23" i="2"/>
  <c r="AQ25" i="2"/>
  <c r="AP25" i="2"/>
  <c r="AP17" i="1"/>
  <c r="AP20" i="1"/>
  <c r="AP24" i="1"/>
  <c r="AP25" i="1"/>
  <c r="AP26" i="1"/>
  <c r="AQ20" i="3"/>
  <c r="AQ21" i="3"/>
  <c r="AQ22" i="3"/>
  <c r="AQ24" i="3"/>
  <c r="AQ27" i="3"/>
  <c r="AQ28" i="3"/>
  <c r="V19" i="2"/>
  <c r="V21" i="2"/>
  <c r="AP24" i="2"/>
  <c r="V25" i="2"/>
  <c r="AP26" i="2"/>
  <c r="V27" i="2"/>
  <c r="AO27" i="2"/>
  <c r="AP18" i="3"/>
  <c r="AP19" i="3"/>
  <c r="AP35" i="3"/>
  <c r="K44" i="3" l="1"/>
  <c r="Z21" i="2"/>
  <c r="Z22" i="2"/>
  <c r="Z18" i="2"/>
  <c r="Z17" i="2"/>
  <c r="Z20" i="2"/>
  <c r="Z25" i="2"/>
  <c r="Z23" i="2"/>
  <c r="Z26" i="2"/>
  <c r="AP27" i="1"/>
  <c r="AQ27" i="1"/>
  <c r="AP22" i="1"/>
  <c r="AQ22" i="1"/>
  <c r="AP23" i="1"/>
  <c r="AQ23" i="1"/>
  <c r="AP21" i="1"/>
  <c r="AQ21" i="1"/>
  <c r="K36" i="1" s="1"/>
  <c r="Z27" i="2"/>
  <c r="Z19" i="2"/>
  <c r="V28" i="2"/>
  <c r="Z16" i="2"/>
  <c r="AO33" i="1"/>
  <c r="AO35" i="1" s="1"/>
  <c r="AO36" i="1" s="1"/>
  <c r="AP19" i="1"/>
  <c r="O33" i="1"/>
  <c r="O35" i="1" s="1"/>
  <c r="Z35" i="1" s="1"/>
  <c r="Z28" i="1"/>
  <c r="AP27" i="2"/>
  <c r="AQ27" i="2"/>
  <c r="Z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Y14" authorId="0" shapeId="0" xr:uid="{00000000-0006-0000-0000-000001000000}">
      <text>
        <r>
          <rPr>
            <sz val="10"/>
            <color rgb="FF000000"/>
            <rFont val="Calibri"/>
            <scheme val="minor"/>
          </rPr>
          <t>======
ID#AAABKTeoPzU
Lenovo01    (2024-04-14 07:01:39)
แบ่งสารจากรอบแรก 80% เพิ่มสารใหม่ 20%</t>
        </r>
      </text>
    </comment>
    <comment ref="BB14" authorId="0" shapeId="0" xr:uid="{00000000-0006-0000-0000-000002000000}">
      <text>
        <r>
          <rPr>
            <sz val="10"/>
            <color rgb="FF000000"/>
            <rFont val="Calibri"/>
            <scheme val="minor"/>
          </rPr>
          <t>======
ID#AAABKTeoPzQ
Lenovo01    (2024-04-14 07:01:39)
นน 940-1000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gGfUzTxExdqMlA1WATqeOieflN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Y14" authorId="0" shapeId="0" xr:uid="{00000000-0006-0000-0200-000004000000}">
      <text>
        <r>
          <rPr>
            <sz val="10"/>
            <color rgb="FF000000"/>
            <rFont val="Calibri"/>
            <scheme val="minor"/>
          </rPr>
          <t>======
ID#AAABYvlTe04
Lenovo01    (2024-04-14 07:01:39)
แบ่งสารจากรอบแรก 80% เพิ่มสารใหม่ 20%</t>
        </r>
      </text>
    </comment>
    <comment ref="BB14" authorId="0" shapeId="0" xr:uid="{00000000-0006-0000-0200-000003000000}">
      <text>
        <r>
          <rPr>
            <sz val="10"/>
            <color rgb="FF000000"/>
            <rFont val="Calibri"/>
            <scheme val="minor"/>
          </rPr>
          <t>======
ID#AAABYvlTe0w
Lenovo01    (2024-04-14 07:01:39)
นน 940-1000</t>
        </r>
      </text>
    </comment>
    <comment ref="P19" authorId="0" shapeId="0" xr:uid="{00000000-0006-0000-0200-000002000000}">
      <text>
        <r>
          <rPr>
            <sz val="10"/>
            <color rgb="FF000000"/>
            <rFont val="Calibri"/>
            <scheme val="minor"/>
          </rPr>
          <t>======
ID#AAABYvlTe0o
Lenovo01    (2024-11-15 04:42:33)
หน้าบ้าน 50</t>
        </r>
      </text>
    </comment>
    <comment ref="P21" authorId="0" shapeId="0" xr:uid="{00000000-0006-0000-0200-000001000000}">
      <text>
        <r>
          <rPr>
            <sz val="10"/>
            <color rgb="FF000000"/>
            <rFont val="Calibri"/>
            <scheme val="minor"/>
          </rPr>
          <t>======
ID#AAABYvlTe0s
Lenovo01    (2024-11-15 04:42:33)
หน้าบ้าน100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dubpaLTRzKFGg52mCnG4zvwb+A=="/>
    </ext>
  </extLst>
</comments>
</file>

<file path=xl/sharedStrings.xml><?xml version="1.0" encoding="utf-8"?>
<sst xmlns="http://schemas.openxmlformats.org/spreadsheetml/2006/main" count="180" uniqueCount="83">
  <si>
    <r>
      <rPr>
        <b/>
        <sz val="12"/>
        <color theme="1"/>
        <rFont val="Cordia New"/>
      </rPr>
      <t xml:space="preserve">ชื่อแบบฟอร์ม : </t>
    </r>
    <r>
      <rPr>
        <sz val="12"/>
        <color theme="1"/>
        <rFont val="Cordia New"/>
      </rPr>
      <t>สูตร</t>
    </r>
  </si>
  <si>
    <r>
      <rPr>
        <b/>
        <sz val="12"/>
        <color theme="1"/>
        <rFont val="Cordia New"/>
      </rPr>
      <t xml:space="preserve">เลขที่แบบฟอร์ม  : </t>
    </r>
    <r>
      <rPr>
        <sz val="12"/>
        <color rgb="FF000000"/>
        <rFont val="Cordia New"/>
      </rPr>
      <t xml:space="preserve">F-OP-RD-002 </t>
    </r>
  </si>
  <si>
    <r>
      <rPr>
        <b/>
        <sz val="12"/>
        <color theme="1"/>
        <rFont val="Cordia New"/>
      </rPr>
      <t xml:space="preserve">แก้ไขครั้งที่ : </t>
    </r>
    <r>
      <rPr>
        <sz val="12"/>
        <color rgb="FF000000"/>
        <rFont val="Cordia New"/>
      </rPr>
      <t>0</t>
    </r>
  </si>
  <si>
    <t>เตรียมโดย  :                        -</t>
  </si>
  <si>
    <t>อนุมัติโดย  :                          -</t>
  </si>
  <si>
    <t>สูตรผลิตจริง</t>
  </si>
  <si>
    <t>นามผู้ซื้อ</t>
  </si>
  <si>
    <t>เลขที่สูตร</t>
  </si>
  <si>
    <t>ประเภทของผลิตภัณฑ์</t>
  </si>
  <si>
    <t>วันที่</t>
  </si>
  <si>
    <t>ชื่อผลิตภัณฑ์ / เลข อย.</t>
  </si>
  <si>
    <t>พนักงานขาย</t>
  </si>
  <si>
    <t>วรัญญา  ปราบณรงค์</t>
  </si>
  <si>
    <t>จำนวนที่สั่งผลิต</t>
  </si>
  <si>
    <t>หน่วย</t>
  </si>
  <si>
    <t>แคปซูล</t>
  </si>
  <si>
    <t>ลำดับ</t>
  </si>
  <si>
    <t>สารสกัด</t>
  </si>
  <si>
    <t xml:space="preserve">ปริมาณ </t>
  </si>
  <si>
    <t>ปริมาณที่ใช้</t>
  </si>
  <si>
    <t>ร้อยละ</t>
  </si>
  <si>
    <t>ราคา / ก.ก.</t>
  </si>
  <si>
    <t>ราคา / มก.</t>
  </si>
  <si>
    <t>ผู้จัดจำหน่าย</t>
  </si>
  <si>
    <t>รหัส</t>
  </si>
  <si>
    <t>ราคา/แพ็ค</t>
  </si>
  <si>
    <t>ปริมาณ g.</t>
  </si>
  <si>
    <t>ราคา / mg.</t>
  </si>
  <si>
    <t>No.</t>
  </si>
  <si>
    <t>(มล.)</t>
  </si>
  <si>
    <t>ผลิต (ก.ก.)</t>
  </si>
  <si>
    <t>(%) (Mg.)</t>
  </si>
  <si>
    <t>Price / Kg.</t>
  </si>
  <si>
    <t>Price / Mg.</t>
  </si>
  <si>
    <t>Supplier</t>
  </si>
  <si>
    <t>วัตถุดิบ</t>
  </si>
  <si>
    <t>mg.</t>
  </si>
  <si>
    <t>ปริมาณส่วนผสม / หน่วย / กก.</t>
  </si>
  <si>
    <t>ต้นทุนราคา/แพ็ค</t>
  </si>
  <si>
    <t>งานแคปซูล ( แคปซูลสี ค่าแคปซูล #00 ราคา 0.6 บาท, ค่าแคปซูล #0 ราคา 0.5 บาท )  ( แคปซูลขาว ค่าแคปซูล #00 ราคา 0.2 บาท, ค่าแคปซูล #0 ราคา 0.1 บาท )</t>
  </si>
  <si>
    <t>( งานชงดื่ม,กรอกปาก Aluminium Foil ราคา 1.5 บาท )  ( ตอกเม็ด+เคลือบ 0.8 บาท )</t>
  </si>
  <si>
    <t>ราคา</t>
  </si>
  <si>
    <t>จำนวน Tester</t>
  </si>
  <si>
    <t>ราคาต้นทุนส่วนผสม / หน่วย</t>
  </si>
  <si>
    <t>รวมราคาต้นทุนส่วนผสม</t>
  </si>
  <si>
    <t>ราคาขาย / หน่วย</t>
  </si>
  <si>
    <t>รวมราคาขาย</t>
  </si>
  <si>
    <t>กำไร / หน่วย</t>
  </si>
  <si>
    <t>รวมกำไร</t>
  </si>
  <si>
    <t>ราคาต้นทุน Tester</t>
  </si>
  <si>
    <t>รวมกำไรสุทธิ</t>
  </si>
  <si>
    <t>เรทราคา</t>
  </si>
  <si>
    <t>นฤมล</t>
  </si>
  <si>
    <t>จนท. R&amp;D</t>
  </si>
  <si>
    <t>Probiotic ตัวหนังสือสีเขียว</t>
  </si>
  <si>
    <t>เพิ่ม/ลด/ปรับเปลี่ยน สารสกัด โดส ผู้จัดจำหน่าย ประเทศ ตัวหนังสือสีแดง</t>
  </si>
  <si>
    <t>หมายเหตุ</t>
  </si>
  <si>
    <t xml:space="preserve"> </t>
  </si>
  <si>
    <r>
      <rPr>
        <b/>
        <sz val="12"/>
        <color theme="1"/>
        <rFont val="Cordia New"/>
      </rPr>
      <t xml:space="preserve">ชื่อแบบฟอร์ม : </t>
    </r>
    <r>
      <rPr>
        <sz val="12"/>
        <color theme="1"/>
        <rFont val="Cordia New"/>
      </rPr>
      <t>สูตร</t>
    </r>
  </si>
  <si>
    <r>
      <rPr>
        <b/>
        <sz val="12"/>
        <color theme="1"/>
        <rFont val="Cordia New"/>
      </rPr>
      <t xml:space="preserve">เลขที่แบบฟอร์ม  : </t>
    </r>
    <r>
      <rPr>
        <sz val="12"/>
        <color rgb="FF000000"/>
        <rFont val="Cordia New"/>
      </rPr>
      <t xml:space="preserve">F-OP-RD-002 </t>
    </r>
  </si>
  <si>
    <r>
      <rPr>
        <b/>
        <sz val="12"/>
        <color theme="1"/>
        <rFont val="Cordia New"/>
      </rPr>
      <t xml:space="preserve">แก้ไขครั้งที่ : </t>
    </r>
    <r>
      <rPr>
        <sz val="12"/>
        <color rgb="FF000000"/>
        <rFont val="Cordia New"/>
      </rPr>
      <t>0</t>
    </r>
  </si>
  <si>
    <t>สูตรTester</t>
  </si>
  <si>
    <t xml:space="preserve">บริษัท โนเวล ฟอร์มูลา กรุป จำกัด </t>
  </si>
  <si>
    <t>F 670814-609#2</t>
  </si>
  <si>
    <t>อาหารเสริมบำรุงผิว</t>
  </si>
  <si>
    <t xml:space="preserve">แคปซูล #00 </t>
  </si>
  <si>
    <t>ผู้ช่วยจนท. R&amp;D</t>
  </si>
  <si>
    <t>(           /           /            )</t>
  </si>
  <si>
    <t>ขั้นตอนการผสมสารและใช้ตะแกรง</t>
  </si>
  <si>
    <t>ปริมาณน้ำที่ใช้</t>
  </si>
  <si>
    <t>ขนาด/สี แคปซูล</t>
  </si>
  <si>
    <t>รูปทรงเม็ดตอก</t>
  </si>
  <si>
    <t>ขนาดซองบรรจุ</t>
  </si>
  <si>
    <t>#00 สีขาว</t>
  </si>
  <si>
    <t xml:space="preserve"> - </t>
  </si>
  <si>
    <r>
      <rPr>
        <b/>
        <sz val="12"/>
        <color theme="1"/>
        <rFont val="Cordia New"/>
      </rPr>
      <t xml:space="preserve">ชื่อแบบฟอร์ม : </t>
    </r>
    <r>
      <rPr>
        <sz val="12"/>
        <color theme="1"/>
        <rFont val="Cordia New"/>
      </rPr>
      <t>สูตร</t>
    </r>
  </si>
  <si>
    <r>
      <rPr>
        <b/>
        <sz val="12"/>
        <color theme="1"/>
        <rFont val="Cordia New"/>
      </rPr>
      <t xml:space="preserve">เลขที่แบบฟอร์ม  : </t>
    </r>
    <r>
      <rPr>
        <sz val="12"/>
        <color rgb="FF000000"/>
        <rFont val="Cordia New"/>
      </rPr>
      <t xml:space="preserve">F-OP-RD-002 </t>
    </r>
  </si>
  <si>
    <r>
      <rPr>
        <b/>
        <sz val="12"/>
        <color theme="1"/>
        <rFont val="Cordia New"/>
      </rPr>
      <t xml:space="preserve">แก้ไขครั้งที่ : </t>
    </r>
    <r>
      <rPr>
        <sz val="12"/>
        <color rgb="FF000000"/>
        <rFont val="Cordia New"/>
      </rPr>
      <t>0</t>
    </r>
  </si>
  <si>
    <t>แคปซูล #00 DRCap</t>
  </si>
  <si>
    <t>จะส่งให้แพลนนิ่งผลิต</t>
  </si>
  <si>
    <t xml:space="preserve">เป็นไฟล์สำหรับคำนวณต้นทุนสาร </t>
  </si>
  <si>
    <t>หน้านี้จะลิงค์กับหน้าต้นทุน จะไม่บอกราคาให้ผู้ช่วยทราบ</t>
  </si>
  <si>
    <t>จะลิงค์กับสูตรขึ้นทะเบียน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</si>
</sst>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[$-107041E]d\ mmmm\ yyyy"/>
    <numFmt numFmtId="166" formatCode="#,##0.000"/>
    <numFmt numFmtId="167" formatCode="_-* #,##0.00_-;\-* #,##0.00_-;_-* &quot;-&quot;??_-;_-@"/>
    <numFmt numFmtId="168" formatCode="_-* #,##0.000_-;\-* #,##0.000_-;_-* &quot;-&quot;??_-;_-@"/>
    <numFmt numFmtId="169" formatCode="#,##0.0000"/>
    <numFmt numFmtId="170" formatCode="_-* #,##0_-;\-* #,##0_-;_-* &quot;-&quot;??_-;_-@"/>
    <numFmt numFmtId="171" formatCode="[$-107041E]d\ mmm\ yy"/>
    <numFmt numFmtId="172" formatCode="0.000"/>
  </numFmts>
  <fonts count="27" x14ac:knownFonts="1">
    <font>
      <sz val="10"/>
      <color rgb="FF000000"/>
      <name val="Calibri"/>
      <scheme val="minor"/>
    </font>
    <font>
      <sz val="11"/>
      <color theme="1"/>
      <name val="Cordia New"/>
    </font>
    <font>
      <sz val="10"/>
      <color theme="1"/>
      <name val="Arial"/>
    </font>
    <font>
      <b/>
      <sz val="12"/>
      <color theme="1"/>
      <name val="Cordia New"/>
    </font>
    <font>
      <sz val="10"/>
      <name val="Calibri"/>
    </font>
    <font>
      <sz val="12"/>
      <color theme="1"/>
      <name val="Calibri"/>
    </font>
    <font>
      <b/>
      <sz val="14"/>
      <color theme="1"/>
      <name val="Cordia New"/>
    </font>
    <font>
      <b/>
      <sz val="11"/>
      <color theme="1"/>
      <name val="Cordia New"/>
    </font>
    <font>
      <sz val="11"/>
      <color theme="0"/>
      <name val="Cordia New"/>
    </font>
    <font>
      <b/>
      <sz val="10"/>
      <color theme="1"/>
      <name val="Cordia New"/>
    </font>
    <font>
      <sz val="10"/>
      <color theme="1"/>
      <name val="Cordia New"/>
    </font>
    <font>
      <sz val="10"/>
      <color rgb="FF000000"/>
      <name val="Calibri"/>
    </font>
    <font>
      <b/>
      <sz val="11"/>
      <color rgb="FFFF0000"/>
      <name val="Cordia New"/>
    </font>
    <font>
      <sz val="11"/>
      <color rgb="FFFF0000"/>
      <name val="Cordia New"/>
    </font>
    <font>
      <b/>
      <sz val="10"/>
      <color rgb="FFFF0000"/>
      <name val="Cordia New"/>
    </font>
    <font>
      <sz val="12"/>
      <color theme="1"/>
      <name val="Cordia New"/>
    </font>
    <font>
      <sz val="14"/>
      <color theme="1"/>
      <name val="Cordia New"/>
    </font>
    <font>
      <sz val="13"/>
      <color rgb="FF00B050"/>
      <name val="Cordia New"/>
    </font>
    <font>
      <sz val="13"/>
      <color rgb="FFFF0000"/>
      <name val="Cordia New"/>
    </font>
    <font>
      <sz val="10"/>
      <color theme="1"/>
      <name val="Calibri"/>
    </font>
    <font>
      <sz val="14"/>
      <color rgb="FF000000"/>
      <name val="Cordia New"/>
    </font>
    <font>
      <sz val="12"/>
      <color rgb="FF000000"/>
      <name val="Cordia New"/>
    </font>
    <font>
      <sz val="11"/>
      <name val="Cordia New"/>
      <family val="2"/>
    </font>
    <font>
      <sz val="10"/>
      <name val="Calibri"/>
      <family val="2"/>
    </font>
    <font>
      <b/>
      <sz val="11"/>
      <name val="Cordia New"/>
      <family val="2"/>
    </font>
    <font>
      <b/>
      <sz val="11"/>
      <color theme="1"/>
      <name val="Cordia New"/>
      <family val="2"/>
    </font>
    <font>
      <sz val="11"/>
      <color theme="1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1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vertical="center"/>
    </xf>
    <xf numFmtId="166" fontId="1" fillId="3" borderId="37" xfId="0" applyNumberFormat="1" applyFont="1" applyFill="1" applyBorder="1" applyAlignment="1">
      <alignment horizontal="right" vertical="center"/>
    </xf>
    <xf numFmtId="0" fontId="1" fillId="0" borderId="38" xfId="0" applyFont="1" applyBorder="1" applyAlignment="1">
      <alignment horizontal="center" vertical="center"/>
    </xf>
    <xf numFmtId="167" fontId="7" fillId="3" borderId="39" xfId="0" applyNumberFormat="1" applyFont="1" applyFill="1" applyBorder="1" applyAlignment="1">
      <alignment horizontal="center" vertical="center"/>
    </xf>
    <xf numFmtId="168" fontId="7" fillId="0" borderId="38" xfId="0" applyNumberFormat="1" applyFont="1" applyBorder="1" applyAlignment="1">
      <alignment horizontal="center" vertical="center"/>
    </xf>
    <xf numFmtId="168" fontId="7" fillId="3" borderId="38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66" fontId="1" fillId="3" borderId="40" xfId="0" applyNumberFormat="1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66" fontId="1" fillId="3" borderId="40" xfId="0" applyNumberFormat="1" applyFont="1" applyFill="1" applyBorder="1" applyAlignment="1">
      <alignment horizontal="right" vertical="center"/>
    </xf>
    <xf numFmtId="3" fontId="12" fillId="3" borderId="46" xfId="0" applyNumberFormat="1" applyFont="1" applyFill="1" applyBorder="1" applyAlignment="1">
      <alignment horizontal="right" vertical="center"/>
    </xf>
    <xf numFmtId="3" fontId="7" fillId="0" borderId="38" xfId="0" applyNumberFormat="1" applyFont="1" applyBorder="1" applyAlignment="1">
      <alignment horizontal="right" vertical="center"/>
    </xf>
    <xf numFmtId="167" fontId="12" fillId="3" borderId="46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7" fontId="12" fillId="2" borderId="37" xfId="0" applyNumberFormat="1" applyFont="1" applyFill="1" applyBorder="1" applyAlignment="1">
      <alignment vertical="center"/>
    </xf>
    <xf numFmtId="170" fontId="12" fillId="4" borderId="38" xfId="0" applyNumberFormat="1" applyFont="1" applyFill="1" applyBorder="1" applyAlignment="1">
      <alignment vertical="center"/>
    </xf>
    <xf numFmtId="165" fontId="7" fillId="2" borderId="39" xfId="0" applyNumberFormat="1" applyFont="1" applyFill="1" applyBorder="1" applyAlignment="1">
      <alignment vertical="center"/>
    </xf>
    <xf numFmtId="4" fontId="1" fillId="0" borderId="20" xfId="0" applyNumberFormat="1" applyFont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17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top"/>
    </xf>
    <xf numFmtId="49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171" fontId="7" fillId="0" borderId="0" xfId="0" applyNumberFormat="1" applyFont="1" applyAlignment="1">
      <alignment vertical="center"/>
    </xf>
    <xf numFmtId="0" fontId="19" fillId="0" borderId="0" xfId="0" applyFont="1"/>
    <xf numFmtId="3" fontId="15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7" fillId="0" borderId="0" xfId="0" applyFont="1"/>
    <xf numFmtId="17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72" fontId="7" fillId="3" borderId="37" xfId="0" applyNumberFormat="1" applyFont="1" applyFill="1" applyBorder="1" applyAlignment="1">
      <alignment horizontal="right" vertical="center"/>
    </xf>
    <xf numFmtId="172" fontId="7" fillId="3" borderId="40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20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left" vertical="center"/>
    </xf>
    <xf numFmtId="3" fontId="16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9" fontId="10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3" fillId="0" borderId="38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/>
    <xf numFmtId="0" fontId="22" fillId="0" borderId="1" xfId="0" applyFont="1" applyBorder="1" applyAlignment="1">
      <alignment horizontal="left" vertical="center"/>
    </xf>
    <xf numFmtId="0" fontId="23" fillId="0" borderId="2" xfId="0" applyFont="1" applyBorder="1"/>
    <xf numFmtId="0" fontId="23" fillId="0" borderId="3" xfId="0" applyFont="1" applyBorder="1"/>
    <xf numFmtId="0" fontId="1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25" fillId="0" borderId="7" xfId="0" applyNumberFormat="1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6" xfId="0" applyFont="1" applyBorder="1"/>
    <xf numFmtId="0" fontId="9" fillId="2" borderId="21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2" xfId="0" applyFont="1" applyBorder="1"/>
    <xf numFmtId="0" fontId="9" fillId="2" borderId="25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166" fontId="22" fillId="0" borderId="1" xfId="0" applyNumberFormat="1" applyFont="1" applyBorder="1" applyAlignment="1">
      <alignment horizontal="right" vertical="center"/>
    </xf>
    <xf numFmtId="166" fontId="1" fillId="3" borderId="1" xfId="0" applyNumberFormat="1" applyFont="1" applyFill="1" applyBorder="1" applyAlignment="1">
      <alignment vertical="center"/>
    </xf>
    <xf numFmtId="166" fontId="24" fillId="0" borderId="1" xfId="0" applyNumberFormat="1" applyFont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0" fontId="4" fillId="0" borderId="24" xfId="0" applyFont="1" applyBorder="1"/>
    <xf numFmtId="0" fontId="9" fillId="2" borderId="31" xfId="0" applyFont="1" applyFill="1" applyBorder="1" applyAlignment="1">
      <alignment horizontal="center" vertical="center"/>
    </xf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6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4" fillId="0" borderId="5" xfId="0" applyFont="1" applyBorder="1"/>
    <xf numFmtId="0" fontId="4" fillId="0" borderId="6" xfId="0" applyFont="1" applyBorder="1"/>
    <xf numFmtId="0" fontId="4" fillId="0" borderId="15" xfId="0" applyFont="1" applyBorder="1"/>
    <xf numFmtId="164" fontId="7" fillId="0" borderId="7" xfId="0" applyNumberFormat="1" applyFont="1" applyBorder="1" applyAlignment="1">
      <alignment horizontal="center" vertical="center"/>
    </xf>
    <xf numFmtId="0" fontId="7" fillId="2" borderId="10" xfId="0" applyFont="1" applyFill="1" applyBorder="1" applyAlignment="1">
      <alignment horizontal="right" vertical="center"/>
    </xf>
    <xf numFmtId="0" fontId="4" fillId="0" borderId="11" xfId="0" applyFont="1" applyBorder="1"/>
    <xf numFmtId="0" fontId="4" fillId="0" borderId="17" xfId="0" applyFont="1" applyBorder="1"/>
    <xf numFmtId="0" fontId="26" fillId="0" borderId="0" xfId="0" applyFont="1" applyAlignment="1">
      <alignment horizontal="center"/>
    </xf>
    <xf numFmtId="0" fontId="4" fillId="0" borderId="12" xfId="0" applyFont="1" applyBorder="1"/>
    <xf numFmtId="0" fontId="7" fillId="2" borderId="19" xfId="0" applyFont="1" applyFill="1" applyBorder="1" applyAlignment="1">
      <alignment horizontal="right" vertical="center"/>
    </xf>
    <xf numFmtId="165" fontId="1" fillId="0" borderId="8" xfId="0" applyNumberFormat="1" applyFont="1" applyBorder="1" applyAlignment="1">
      <alignment horizontal="center"/>
    </xf>
    <xf numFmtId="0" fontId="4" fillId="0" borderId="18" xfId="0" applyFont="1" applyBorder="1"/>
    <xf numFmtId="165" fontId="7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4" fontId="7" fillId="0" borderId="20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2" borderId="4" xfId="0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vertical="center"/>
    </xf>
    <xf numFmtId="166" fontId="1" fillId="3" borderId="1" xfId="0" applyNumberFormat="1" applyFont="1" applyFill="1" applyBorder="1" applyAlignment="1">
      <alignment horizontal="right" vertical="center"/>
    </xf>
    <xf numFmtId="166" fontId="22" fillId="0" borderId="7" xfId="0" applyNumberFormat="1" applyFont="1" applyBorder="1" applyAlignment="1">
      <alignment vertical="center"/>
    </xf>
    <xf numFmtId="0" fontId="23" fillId="0" borderId="8" xfId="0" applyFont="1" applyBorder="1"/>
    <xf numFmtId="0" fontId="23" fillId="0" borderId="9" xfId="0" applyFont="1" applyBorder="1"/>
    <xf numFmtId="166" fontId="22" fillId="0" borderId="1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vertical="center"/>
    </xf>
    <xf numFmtId="3" fontId="7" fillId="0" borderId="7" xfId="0" applyNumberFormat="1" applyFont="1" applyBorder="1" applyAlignment="1">
      <alignment vertical="center"/>
    </xf>
    <xf numFmtId="166" fontId="13" fillId="0" borderId="1" xfId="0" applyNumberFormat="1" applyFont="1" applyBorder="1" applyAlignment="1">
      <alignment horizontal="right" vertical="center"/>
    </xf>
    <xf numFmtId="166" fontId="1" fillId="0" borderId="7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49" fontId="15" fillId="0" borderId="20" xfId="0" applyNumberFormat="1" applyFont="1" applyBorder="1" applyAlignment="1">
      <alignment horizontal="center" vertical="top"/>
    </xf>
    <xf numFmtId="49" fontId="15" fillId="0" borderId="13" xfId="0" applyNumberFormat="1" applyFont="1" applyBorder="1" applyAlignment="1">
      <alignment horizontal="center" vertical="top"/>
    </xf>
    <xf numFmtId="49" fontId="15" fillId="6" borderId="51" xfId="0" applyNumberFormat="1" applyFont="1" applyFill="1" applyBorder="1" applyAlignment="1">
      <alignment horizontal="center" vertical="center"/>
    </xf>
    <xf numFmtId="0" fontId="4" fillId="0" borderId="52" xfId="0" applyFont="1" applyBorder="1"/>
    <xf numFmtId="0" fontId="4" fillId="0" borderId="53" xfId="0" applyFont="1" applyBorder="1"/>
    <xf numFmtId="49" fontId="15" fillId="6" borderId="3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top"/>
    </xf>
    <xf numFmtId="167" fontId="12" fillId="2" borderId="1" xfId="0" applyNumberFormat="1" applyFont="1" applyFill="1" applyBorder="1" applyAlignment="1">
      <alignment horizontal="center" vertical="center"/>
    </xf>
    <xf numFmtId="0" fontId="4" fillId="0" borderId="42" xfId="0" applyFont="1" applyBorder="1"/>
    <xf numFmtId="0" fontId="7" fillId="2" borderId="47" xfId="0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4" fontId="7" fillId="2" borderId="1" xfId="0" applyNumberFormat="1" applyFont="1" applyFill="1" applyBorder="1" applyAlignment="1">
      <alignment horizontal="center" vertical="center"/>
    </xf>
    <xf numFmtId="169" fontId="12" fillId="4" borderId="31" xfId="0" applyNumberFormat="1" applyFont="1" applyFill="1" applyBorder="1" applyAlignment="1">
      <alignment horizontal="right" vertical="center"/>
    </xf>
    <xf numFmtId="166" fontId="12" fillId="3" borderId="43" xfId="0" applyNumberFormat="1" applyFont="1" applyFill="1" applyBorder="1" applyAlignment="1">
      <alignment horizontal="right" vertical="center"/>
    </xf>
    <xf numFmtId="0" fontId="4" fillId="0" borderId="44" xfId="0" applyFont="1" applyBorder="1"/>
    <xf numFmtId="0" fontId="4" fillId="0" borderId="45" xfId="0" applyFont="1" applyBorder="1"/>
    <xf numFmtId="2" fontId="12" fillId="3" borderId="43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4" fontId="12" fillId="3" borderId="48" xfId="0" applyNumberFormat="1" applyFont="1" applyFill="1" applyBorder="1" applyAlignment="1">
      <alignment horizontal="right" vertical="center"/>
    </xf>
    <xf numFmtId="0" fontId="4" fillId="0" borderId="49" xfId="0" applyFont="1" applyBorder="1"/>
    <xf numFmtId="0" fontId="4" fillId="0" borderId="50" xfId="0" applyFont="1" applyBorder="1"/>
    <xf numFmtId="0" fontId="7" fillId="4" borderId="1" xfId="0" applyFont="1" applyFill="1" applyBorder="1" applyAlignment="1">
      <alignment horizontal="left" vertical="center"/>
    </xf>
    <xf numFmtId="4" fontId="12" fillId="4" borderId="48" xfId="0" applyNumberFormat="1" applyFont="1" applyFill="1" applyBorder="1" applyAlignment="1">
      <alignment horizontal="right" vertical="center"/>
    </xf>
    <xf numFmtId="0" fontId="1" fillId="0" borderId="54" xfId="0" applyFont="1" applyBorder="1" applyAlignment="1">
      <alignment horizontal="center" vertical="center"/>
    </xf>
    <xf numFmtId="0" fontId="4" fillId="0" borderId="54" xfId="0" applyFont="1" applyBorder="1"/>
    <xf numFmtId="171" fontId="7" fillId="0" borderId="55" xfId="0" applyNumberFormat="1" applyFont="1" applyBorder="1" applyAlignment="1">
      <alignment horizontal="center" vertical="center"/>
    </xf>
    <xf numFmtId="0" fontId="4" fillId="0" borderId="55" xfId="0" applyFont="1" applyBorder="1"/>
    <xf numFmtId="0" fontId="1" fillId="0" borderId="14" xfId="0" applyFont="1" applyBorder="1" applyAlignment="1">
      <alignment horizontal="center" vertical="center"/>
    </xf>
    <xf numFmtId="4" fontId="12" fillId="3" borderId="43" xfId="0" applyNumberFormat="1" applyFont="1" applyFill="1" applyBorder="1" applyAlignment="1">
      <alignment horizontal="right" vertical="center"/>
    </xf>
    <xf numFmtId="4" fontId="12" fillId="0" borderId="48" xfId="0" applyNumberFormat="1" applyFont="1" applyBorder="1" applyAlignment="1">
      <alignment horizontal="right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15" fillId="6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3" fontId="7" fillId="0" borderId="1" xfId="0" applyNumberFormat="1" applyFont="1" applyBorder="1" applyAlignment="1">
      <alignment vertical="center"/>
    </xf>
    <xf numFmtId="169" fontId="7" fillId="3" borderId="1" xfId="0" applyNumberFormat="1" applyFont="1" applyFill="1" applyBorder="1" applyAlignment="1">
      <alignment horizontal="right" vertical="center"/>
    </xf>
    <xf numFmtId="172" fontId="7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left"/>
    </xf>
    <xf numFmtId="0" fontId="20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20" fillId="0" borderId="13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4" fillId="0" borderId="56" xfId="0" applyFont="1" applyBorder="1"/>
    <xf numFmtId="0" fontId="19" fillId="0" borderId="57" xfId="0" applyFont="1" applyBorder="1" applyAlignment="1">
      <alignment horizontal="center"/>
    </xf>
    <xf numFmtId="0" fontId="4" fillId="0" borderId="57" xfId="0" applyFont="1" applyBorder="1"/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14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6" fontId="7" fillId="0" borderId="1" xfId="0" applyNumberFormat="1" applyFont="1" applyBorder="1" applyAlignment="1">
      <alignment horizontal="right" vertical="center"/>
    </xf>
    <xf numFmtId="166" fontId="13" fillId="0" borderId="7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49" fontId="15" fillId="4" borderId="51" xfId="0" applyNumberFormat="1" applyFont="1" applyFill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51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3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9" fontId="10" fillId="0" borderId="30" xfId="0" applyNumberFormat="1" applyFont="1" applyFill="1" applyBorder="1" applyAlignment="1">
      <alignment vertical="center"/>
    </xf>
    <xf numFmtId="3" fontId="7" fillId="0" borderId="30" xfId="0" applyNumberFormat="1" applyFont="1" applyFill="1" applyBorder="1" applyAlignment="1">
      <alignment vertical="center"/>
    </xf>
    <xf numFmtId="3" fontId="7" fillId="0" borderId="0" xfId="0" applyNumberFormat="1" applyFont="1" applyFill="1" applyAlignment="1">
      <alignment vertical="center"/>
    </xf>
    <xf numFmtId="2" fontId="10" fillId="0" borderId="30" xfId="0" applyNumberFormat="1" applyFont="1" applyFill="1" applyBorder="1" applyAlignment="1">
      <alignment vertical="center"/>
    </xf>
    <xf numFmtId="4" fontId="7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1" fillId="0" borderId="30" xfId="0" applyFont="1" applyFill="1" applyBorder="1"/>
    <xf numFmtId="4" fontId="7" fillId="0" borderId="30" xfId="0" applyNumberFormat="1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66675</xdr:colOff>
      <xdr:row>0</xdr:row>
      <xdr:rowOff>0</xdr:rowOff>
    </xdr:from>
    <xdr:ext cx="1790700" cy="676275"/>
    <xdr:pic>
      <xdr:nvPicPr>
        <xdr:cNvPr id="2" name="image1.png" descr="LOGO-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66675</xdr:colOff>
      <xdr:row>0</xdr:row>
      <xdr:rowOff>0</xdr:rowOff>
    </xdr:from>
    <xdr:ext cx="1790700" cy="676275"/>
    <xdr:pic>
      <xdr:nvPicPr>
        <xdr:cNvPr id="2" name="image1.png" descr="LOGO-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0</xdr:row>
      <xdr:rowOff>0</xdr:rowOff>
    </xdr:from>
    <xdr:ext cx="1790700" cy="676275"/>
    <xdr:pic>
      <xdr:nvPicPr>
        <xdr:cNvPr id="3" name="image1.png" descr="LOGO-0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66675</xdr:colOff>
      <xdr:row>0</xdr:row>
      <xdr:rowOff>0</xdr:rowOff>
    </xdr:from>
    <xdr:ext cx="1790700" cy="676275"/>
    <xdr:pic>
      <xdr:nvPicPr>
        <xdr:cNvPr id="2" name="image1.png" descr="LOGO-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93"/>
  <sheetViews>
    <sheetView tabSelected="1" topLeftCell="A22" workbookViewId="0">
      <selection activeCell="R46" sqref="R46"/>
    </sheetView>
  </sheetViews>
  <sheetFormatPr defaultColWidth="14.42578125" defaultRowHeight="15" customHeight="1" x14ac:dyDescent="0.2"/>
  <cols>
    <col min="1" max="1" width="1.28515625" customWidth="1"/>
    <col min="2" max="3" width="2.28515625" customWidth="1"/>
    <col min="4" max="4" width="1.42578125" customWidth="1"/>
    <col min="5" max="5" width="2.42578125" customWidth="1"/>
    <col min="6" max="6" width="1.42578125" customWidth="1"/>
    <col min="7" max="7" width="3.42578125" customWidth="1"/>
    <col min="8" max="8" width="2.42578125" customWidth="1"/>
    <col min="9" max="9" width="3.42578125" customWidth="1"/>
    <col min="10" max="10" width="2.28515625" customWidth="1"/>
    <col min="11" max="11" width="4" customWidth="1"/>
    <col min="12" max="14" width="2.28515625" customWidth="1"/>
    <col min="15" max="15" width="4.28515625" customWidth="1"/>
    <col min="16" max="16" width="1.42578125" customWidth="1"/>
    <col min="17" max="17" width="1.5703125" customWidth="1"/>
    <col min="18" max="18" width="1.7109375" customWidth="1"/>
    <col min="19" max="19" width="1" customWidth="1"/>
    <col min="20" max="20" width="1.7109375" customWidth="1"/>
    <col min="21" max="21" width="0.85546875" customWidth="1"/>
    <col min="22" max="22" width="1.28515625" customWidth="1"/>
    <col min="23" max="23" width="1.7109375" customWidth="1"/>
    <col min="24" max="24" width="3.28515625" customWidth="1"/>
    <col min="25" max="25" width="1.28515625" customWidth="1"/>
    <col min="26" max="26" width="6.7109375" customWidth="1"/>
    <col min="27" max="29" width="1.7109375" customWidth="1"/>
    <col min="30" max="30" width="3.7109375" customWidth="1"/>
    <col min="31" max="34" width="1.7109375" customWidth="1"/>
    <col min="35" max="35" width="2.28515625" customWidth="1"/>
    <col min="36" max="36" width="2.42578125" customWidth="1"/>
    <col min="37" max="37" width="1.28515625" customWidth="1"/>
    <col min="38" max="38" width="2.28515625" customWidth="1"/>
    <col min="39" max="39" width="9.28515625" customWidth="1"/>
    <col min="40" max="40" width="8" customWidth="1"/>
    <col min="41" max="41" width="10" customWidth="1"/>
    <col min="42" max="42" width="6.85546875" customWidth="1"/>
    <col min="43" max="43" width="8.28515625" customWidth="1"/>
    <col min="44" max="45" width="5.7109375" customWidth="1"/>
    <col min="46" max="48" width="2.7109375" customWidth="1"/>
    <col min="49" max="49" width="12.5703125" customWidth="1"/>
    <col min="50" max="50" width="3.28515625" customWidth="1"/>
    <col min="51" max="51" width="6.28515625" customWidth="1"/>
    <col min="52" max="52" width="5.5703125" customWidth="1"/>
    <col min="53" max="53" width="2.7109375" customWidth="1"/>
    <col min="54" max="54" width="7.28515625" customWidth="1"/>
    <col min="55" max="63" width="2.7109375" customWidth="1"/>
  </cols>
  <sheetData>
    <row r="1" spans="1:63" ht="53.25" customHeight="1" x14ac:dyDescent="0.2">
      <c r="A1" s="1"/>
      <c r="B1" s="83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7.25" customHeight="1" x14ac:dyDescent="0.4">
      <c r="A2" s="2"/>
      <c r="B2" s="85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75"/>
      <c r="V2" s="85" t="s">
        <v>1</v>
      </c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75"/>
      <c r="AK2" s="85" t="s">
        <v>2</v>
      </c>
      <c r="AL2" s="80"/>
      <c r="AM2" s="80"/>
      <c r="AN2" s="80"/>
      <c r="AO2" s="80"/>
      <c r="AP2" s="80"/>
      <c r="AQ2" s="75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7.25" customHeight="1" x14ac:dyDescent="0.4">
      <c r="A3" s="2"/>
      <c r="B3" s="85" t="s">
        <v>3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75"/>
      <c r="V3" s="85" t="s">
        <v>4</v>
      </c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75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ht="6.75" customHeight="1" x14ac:dyDescent="0.4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3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21" x14ac:dyDescent="0.4">
      <c r="A5" s="2"/>
      <c r="B5" s="107" t="s">
        <v>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75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9.75" customHeight="1" x14ac:dyDescent="0.4">
      <c r="A6" s="1"/>
      <c r="B6" s="108" t="s">
        <v>6</v>
      </c>
      <c r="C6" s="109"/>
      <c r="D6" s="109"/>
      <c r="E6" s="109"/>
      <c r="F6" s="109"/>
      <c r="G6" s="109"/>
      <c r="H6" s="110"/>
      <c r="I6" s="112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8"/>
      <c r="Z6" s="113" t="s">
        <v>7</v>
      </c>
      <c r="AA6" s="109"/>
      <c r="AB6" s="109"/>
      <c r="AC6" s="109"/>
      <c r="AD6" s="109"/>
      <c r="AE6" s="109"/>
      <c r="AF6" s="109"/>
      <c r="AG6" s="109"/>
      <c r="AH6" s="109"/>
      <c r="AI6" s="114"/>
      <c r="AJ6" s="116"/>
      <c r="AK6" s="84"/>
      <c r="AL6" s="84"/>
      <c r="AM6" s="84"/>
      <c r="AN6" s="84"/>
      <c r="AO6" s="84"/>
      <c r="AP6" s="84"/>
      <c r="AQ6" s="117"/>
      <c r="AR6" s="5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2"/>
      <c r="BG6" s="2"/>
      <c r="BH6" s="2"/>
      <c r="BI6" s="2"/>
      <c r="BJ6" s="2"/>
      <c r="BK6" s="2"/>
    </row>
    <row r="7" spans="1:63" ht="9.75" customHeight="1" x14ac:dyDescent="0.2">
      <c r="A7" s="1"/>
      <c r="B7" s="89"/>
      <c r="C7" s="90"/>
      <c r="D7" s="90"/>
      <c r="E7" s="90"/>
      <c r="F7" s="90"/>
      <c r="G7" s="90"/>
      <c r="H7" s="111"/>
      <c r="I7" s="89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  <c r="Z7" s="115"/>
      <c r="AA7" s="90"/>
      <c r="AB7" s="90"/>
      <c r="AC7" s="90"/>
      <c r="AD7" s="90"/>
      <c r="AE7" s="90"/>
      <c r="AF7" s="90"/>
      <c r="AG7" s="90"/>
      <c r="AH7" s="90"/>
      <c r="AI7" s="91"/>
      <c r="AJ7" s="90"/>
      <c r="AK7" s="90"/>
      <c r="AL7" s="90"/>
      <c r="AM7" s="90"/>
      <c r="AN7" s="90"/>
      <c r="AO7" s="90"/>
      <c r="AP7" s="90"/>
      <c r="AQ7" s="91"/>
      <c r="AR7" s="5"/>
      <c r="AS7" s="1"/>
      <c r="AT7" s="1"/>
      <c r="AU7" s="5"/>
      <c r="AV7" s="5"/>
      <c r="AW7" s="5"/>
      <c r="AX7" s="5"/>
      <c r="AY7" s="5"/>
      <c r="AZ7" s="5"/>
      <c r="BA7" s="5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9.75" customHeight="1" x14ac:dyDescent="0.2">
      <c r="A8" s="1"/>
      <c r="B8" s="101" t="s">
        <v>8</v>
      </c>
      <c r="C8" s="87"/>
      <c r="D8" s="87"/>
      <c r="E8" s="87"/>
      <c r="F8" s="87"/>
      <c r="G8" s="87"/>
      <c r="H8" s="120"/>
      <c r="I8" s="86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  <c r="Z8" s="118" t="s">
        <v>9</v>
      </c>
      <c r="AA8" s="87"/>
      <c r="AB8" s="87"/>
      <c r="AC8" s="87"/>
      <c r="AD8" s="87"/>
      <c r="AE8" s="87"/>
      <c r="AF8" s="87"/>
      <c r="AG8" s="87"/>
      <c r="AH8" s="87"/>
      <c r="AI8" s="88"/>
      <c r="AJ8" s="119"/>
      <c r="AK8" s="87"/>
      <c r="AL8" s="87"/>
      <c r="AM8" s="87"/>
      <c r="AN8" s="87"/>
      <c r="AO8" s="87"/>
      <c r="AP8" s="87"/>
      <c r="AQ8" s="88"/>
      <c r="AR8" s="6"/>
      <c r="AS8" s="1"/>
      <c r="AT8" s="1"/>
      <c r="AU8" s="5"/>
      <c r="AV8" s="5"/>
      <c r="AW8" s="5"/>
      <c r="AX8" s="5"/>
      <c r="AY8" s="5"/>
      <c r="AZ8" s="5"/>
      <c r="BA8" s="5"/>
      <c r="BB8" s="5"/>
      <c r="BC8" s="1"/>
      <c r="BD8" s="1"/>
      <c r="BE8" s="1"/>
      <c r="BF8" s="1"/>
      <c r="BG8" s="1"/>
      <c r="BH8" s="1"/>
      <c r="BI8" s="1"/>
      <c r="BJ8" s="1"/>
      <c r="BK8" s="1"/>
    </row>
    <row r="9" spans="1:63" ht="9.75" customHeight="1" x14ac:dyDescent="0.2">
      <c r="A9" s="1"/>
      <c r="B9" s="89"/>
      <c r="C9" s="90"/>
      <c r="D9" s="90"/>
      <c r="E9" s="90"/>
      <c r="F9" s="90"/>
      <c r="G9" s="90"/>
      <c r="H9" s="111"/>
      <c r="I9" s="89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1"/>
      <c r="Z9" s="115"/>
      <c r="AA9" s="90"/>
      <c r="AB9" s="90"/>
      <c r="AC9" s="90"/>
      <c r="AD9" s="90"/>
      <c r="AE9" s="90"/>
      <c r="AF9" s="90"/>
      <c r="AG9" s="90"/>
      <c r="AH9" s="90"/>
      <c r="AI9" s="91"/>
      <c r="AJ9" s="90"/>
      <c r="AK9" s="90"/>
      <c r="AL9" s="90"/>
      <c r="AM9" s="90"/>
      <c r="AN9" s="90"/>
      <c r="AO9" s="90"/>
      <c r="AP9" s="90"/>
      <c r="AQ9" s="91"/>
      <c r="AR9" s="6"/>
      <c r="AS9" s="1"/>
      <c r="AT9" s="1"/>
      <c r="AU9" s="7"/>
      <c r="AV9" s="7"/>
      <c r="AW9" s="7"/>
      <c r="AX9" s="7"/>
      <c r="AY9" s="7"/>
      <c r="AZ9" s="8"/>
      <c r="BA9" s="8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9.75" customHeight="1" x14ac:dyDescent="0.2">
      <c r="A10" s="1"/>
      <c r="B10" s="101" t="s">
        <v>10</v>
      </c>
      <c r="C10" s="87"/>
      <c r="D10" s="87"/>
      <c r="E10" s="87"/>
      <c r="F10" s="87"/>
      <c r="G10" s="87"/>
      <c r="H10" s="120"/>
      <c r="I10" s="121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8"/>
      <c r="Z10" s="118" t="s">
        <v>11</v>
      </c>
      <c r="AA10" s="87"/>
      <c r="AB10" s="87"/>
      <c r="AC10" s="87"/>
      <c r="AD10" s="87"/>
      <c r="AE10" s="87"/>
      <c r="AF10" s="87"/>
      <c r="AG10" s="87"/>
      <c r="AH10" s="87"/>
      <c r="AI10" s="88"/>
      <c r="AJ10" s="122"/>
      <c r="AK10" s="87"/>
      <c r="AL10" s="87"/>
      <c r="AM10" s="87"/>
      <c r="AN10" s="87"/>
      <c r="AO10" s="87"/>
      <c r="AP10" s="87"/>
      <c r="AQ10" s="88"/>
      <c r="AR10" s="6"/>
      <c r="AS10" s="1"/>
      <c r="AT10" s="1"/>
      <c r="AU10" s="1"/>
      <c r="AV10" s="1"/>
      <c r="AW10" s="206"/>
      <c r="AX10" s="206"/>
      <c r="AY10" s="206"/>
      <c r="AZ10" s="206"/>
      <c r="BA10" s="206"/>
      <c r="BB10" s="207"/>
      <c r="BC10" s="206"/>
      <c r="BD10" s="206"/>
      <c r="BE10" s="206"/>
      <c r="BF10" s="206"/>
      <c r="BG10" s="206"/>
      <c r="BH10" s="206"/>
      <c r="BI10" s="206"/>
      <c r="BJ10" s="206"/>
      <c r="BK10" s="206"/>
    </row>
    <row r="11" spans="1:63" ht="9.75" customHeight="1" x14ac:dyDescent="0.2">
      <c r="A11" s="1"/>
      <c r="B11" s="89"/>
      <c r="C11" s="90"/>
      <c r="D11" s="90"/>
      <c r="E11" s="90"/>
      <c r="F11" s="90"/>
      <c r="G11" s="90"/>
      <c r="H11" s="111"/>
      <c r="I11" s="89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1"/>
      <c r="Z11" s="115"/>
      <c r="AA11" s="90"/>
      <c r="AB11" s="90"/>
      <c r="AC11" s="90"/>
      <c r="AD11" s="90"/>
      <c r="AE11" s="90"/>
      <c r="AF11" s="90"/>
      <c r="AG11" s="90"/>
      <c r="AH11" s="90"/>
      <c r="AI11" s="91"/>
      <c r="AJ11" s="90"/>
      <c r="AK11" s="90"/>
      <c r="AL11" s="90"/>
      <c r="AM11" s="90"/>
      <c r="AN11" s="90"/>
      <c r="AO11" s="90"/>
      <c r="AP11" s="90"/>
      <c r="AQ11" s="91"/>
      <c r="AR11" s="6"/>
      <c r="AS11" s="9"/>
      <c r="AT11" s="1"/>
      <c r="AU11" s="1"/>
      <c r="AV11" s="1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</row>
    <row r="12" spans="1:63" ht="9.75" customHeight="1" x14ac:dyDescent="0.2">
      <c r="A12" s="1"/>
      <c r="B12" s="101" t="s">
        <v>13</v>
      </c>
      <c r="C12" s="87"/>
      <c r="D12" s="87"/>
      <c r="E12" s="87"/>
      <c r="F12" s="87"/>
      <c r="G12" s="87"/>
      <c r="H12" s="88"/>
      <c r="I12" s="123"/>
      <c r="J12" s="84"/>
      <c r="K12" s="84"/>
      <c r="L12" s="84"/>
      <c r="M12" s="84"/>
      <c r="N12" s="84"/>
      <c r="O12" s="117"/>
      <c r="P12" s="125" t="s">
        <v>14</v>
      </c>
      <c r="Q12" s="109"/>
      <c r="R12" s="109"/>
      <c r="S12" s="110"/>
      <c r="T12" s="121" t="s">
        <v>15</v>
      </c>
      <c r="U12" s="87"/>
      <c r="V12" s="87"/>
      <c r="W12" s="87"/>
      <c r="X12" s="87"/>
      <c r="Y12" s="88"/>
      <c r="Z12" s="5"/>
      <c r="AA12" s="5"/>
      <c r="AB12" s="5"/>
      <c r="AC12" s="12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117"/>
      <c r="AR12" s="6"/>
      <c r="AS12" s="1"/>
      <c r="AT12" s="1"/>
      <c r="AU12" s="1"/>
      <c r="AV12" s="1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</row>
    <row r="13" spans="1:63" ht="9.75" customHeight="1" x14ac:dyDescent="0.2">
      <c r="A13" s="1"/>
      <c r="B13" s="89"/>
      <c r="C13" s="90"/>
      <c r="D13" s="90"/>
      <c r="E13" s="90"/>
      <c r="F13" s="90"/>
      <c r="G13" s="90"/>
      <c r="H13" s="91"/>
      <c r="I13" s="89"/>
      <c r="J13" s="90"/>
      <c r="K13" s="90"/>
      <c r="L13" s="90"/>
      <c r="M13" s="90"/>
      <c r="N13" s="90"/>
      <c r="O13" s="91"/>
      <c r="P13" s="89"/>
      <c r="Q13" s="90"/>
      <c r="R13" s="90"/>
      <c r="S13" s="111"/>
      <c r="T13" s="89"/>
      <c r="U13" s="90"/>
      <c r="V13" s="90"/>
      <c r="W13" s="90"/>
      <c r="X13" s="90"/>
      <c r="Y13" s="91"/>
      <c r="Z13" s="10"/>
      <c r="AA13" s="10"/>
      <c r="AB13" s="1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1"/>
      <c r="AR13" s="6"/>
      <c r="AS13" s="1" t="s">
        <v>79</v>
      </c>
      <c r="AT13" s="1"/>
      <c r="AU13" s="1"/>
      <c r="AV13" s="1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</row>
    <row r="14" spans="1:63" ht="12.75" customHeight="1" x14ac:dyDescent="0.2">
      <c r="A14" s="11"/>
      <c r="B14" s="92" t="s">
        <v>16</v>
      </c>
      <c r="C14" s="94"/>
      <c r="D14" s="92" t="s">
        <v>17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102"/>
      <c r="P14" s="92" t="s">
        <v>18</v>
      </c>
      <c r="Q14" s="93"/>
      <c r="R14" s="93"/>
      <c r="S14" s="93"/>
      <c r="T14" s="93"/>
      <c r="U14" s="94"/>
      <c r="V14" s="95" t="s">
        <v>19</v>
      </c>
      <c r="W14" s="96"/>
      <c r="X14" s="96"/>
      <c r="Y14" s="97"/>
      <c r="Z14" s="12" t="s">
        <v>20</v>
      </c>
      <c r="AA14" s="92" t="s">
        <v>21</v>
      </c>
      <c r="AB14" s="93"/>
      <c r="AC14" s="93"/>
      <c r="AD14" s="94"/>
      <c r="AE14" s="92" t="s">
        <v>22</v>
      </c>
      <c r="AF14" s="93"/>
      <c r="AG14" s="93"/>
      <c r="AH14" s="94"/>
      <c r="AI14" s="92" t="s">
        <v>23</v>
      </c>
      <c r="AJ14" s="93"/>
      <c r="AK14" s="93"/>
      <c r="AL14" s="94"/>
      <c r="AM14" s="13" t="s">
        <v>24</v>
      </c>
      <c r="AN14" s="13" t="s">
        <v>25</v>
      </c>
      <c r="AO14" s="12" t="s">
        <v>18</v>
      </c>
      <c r="AP14" s="12" t="s">
        <v>26</v>
      </c>
      <c r="AQ14" s="12" t="s">
        <v>27</v>
      </c>
      <c r="AR14" s="11"/>
      <c r="AS14" s="11" t="s">
        <v>80</v>
      </c>
      <c r="AT14" s="11"/>
      <c r="AU14" s="11"/>
      <c r="AV14" s="11"/>
      <c r="AW14" s="208"/>
      <c r="AX14" s="209"/>
      <c r="AY14" s="208"/>
      <c r="AZ14" s="208"/>
      <c r="BA14" s="209"/>
      <c r="BB14" s="209"/>
      <c r="BC14" s="209"/>
      <c r="BD14" s="209"/>
      <c r="BE14" s="209"/>
      <c r="BF14" s="209"/>
      <c r="BG14" s="209"/>
      <c r="BH14" s="209"/>
      <c r="BI14" s="209"/>
      <c r="BJ14" s="209"/>
      <c r="BK14" s="209"/>
    </row>
    <row r="15" spans="1:63" ht="12.75" customHeight="1" x14ac:dyDescent="0.2">
      <c r="A15" s="14"/>
      <c r="B15" s="103" t="s">
        <v>28</v>
      </c>
      <c r="C15" s="104"/>
      <c r="D15" s="103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6"/>
      <c r="P15" s="103" t="s">
        <v>29</v>
      </c>
      <c r="Q15" s="105"/>
      <c r="R15" s="105"/>
      <c r="S15" s="105"/>
      <c r="T15" s="105"/>
      <c r="U15" s="104"/>
      <c r="V15" s="103" t="s">
        <v>30</v>
      </c>
      <c r="W15" s="105"/>
      <c r="X15" s="105"/>
      <c r="Y15" s="104"/>
      <c r="Z15" s="15" t="s">
        <v>31</v>
      </c>
      <c r="AA15" s="103" t="s">
        <v>32</v>
      </c>
      <c r="AB15" s="105"/>
      <c r="AC15" s="105"/>
      <c r="AD15" s="104"/>
      <c r="AE15" s="103" t="s">
        <v>33</v>
      </c>
      <c r="AF15" s="105"/>
      <c r="AG15" s="105"/>
      <c r="AH15" s="104"/>
      <c r="AI15" s="103" t="s">
        <v>34</v>
      </c>
      <c r="AJ15" s="105"/>
      <c r="AK15" s="105"/>
      <c r="AL15" s="104"/>
      <c r="AM15" s="16" t="s">
        <v>35</v>
      </c>
      <c r="AN15" s="16"/>
      <c r="AO15" s="15" t="s">
        <v>36</v>
      </c>
      <c r="AP15" s="17"/>
      <c r="AQ15" s="17"/>
      <c r="AR15" s="14"/>
      <c r="AS15" s="14"/>
      <c r="AT15" s="14"/>
      <c r="AU15" s="14"/>
      <c r="AV15" s="14"/>
      <c r="AW15" s="210"/>
      <c r="AX15" s="211"/>
      <c r="AY15" s="212"/>
      <c r="AZ15" s="212"/>
      <c r="BA15" s="211"/>
      <c r="BB15" s="211"/>
      <c r="BC15" s="211"/>
      <c r="BD15" s="211"/>
      <c r="BE15" s="211"/>
      <c r="BF15" s="211"/>
      <c r="BG15" s="211"/>
      <c r="BH15" s="211"/>
      <c r="BI15" s="211"/>
      <c r="BJ15" s="211"/>
      <c r="BK15" s="211"/>
    </row>
    <row r="16" spans="1:63" ht="14.25" customHeight="1" x14ac:dyDescent="0.2">
      <c r="A16" s="1"/>
      <c r="B16" s="74">
        <v>1</v>
      </c>
      <c r="C16" s="75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8"/>
      <c r="P16" s="98"/>
      <c r="Q16" s="77"/>
      <c r="R16" s="77"/>
      <c r="S16" s="77"/>
      <c r="T16" s="77"/>
      <c r="U16" s="78"/>
      <c r="V16" s="99">
        <f>SUM(P16*I12/1000000)</f>
        <v>0</v>
      </c>
      <c r="W16" s="80"/>
      <c r="X16" s="80"/>
      <c r="Y16" s="75"/>
      <c r="Z16" s="18" t="e">
        <f>P16*100/P28</f>
        <v>#DIV/0!</v>
      </c>
      <c r="AA16" s="126"/>
      <c r="AB16" s="80"/>
      <c r="AC16" s="80"/>
      <c r="AD16" s="75"/>
      <c r="AE16" s="127">
        <f t="shared" ref="AE16:AE27" si="0">SUM(AA16/1000000*P16)</f>
        <v>0</v>
      </c>
      <c r="AF16" s="80"/>
      <c r="AG16" s="80"/>
      <c r="AH16" s="75"/>
      <c r="AI16" s="74"/>
      <c r="AJ16" s="80"/>
      <c r="AK16" s="80"/>
      <c r="AL16" s="75"/>
      <c r="AM16" s="19"/>
      <c r="AN16" s="20"/>
      <c r="AO16" s="21">
        <f>+P16*AP31</f>
        <v>0</v>
      </c>
      <c r="AP16" s="22">
        <f t="shared" ref="AP16:AP27" si="1">+AO16/1000</f>
        <v>0</v>
      </c>
      <c r="AQ16" s="21">
        <f t="shared" ref="AQ16:AQ27" si="2">SUM(AA16/1000000*AO16)</f>
        <v>0</v>
      </c>
      <c r="AR16" s="23"/>
      <c r="AS16" s="1"/>
      <c r="AT16" s="1"/>
      <c r="AU16" s="1"/>
      <c r="AV16" s="1"/>
      <c r="AW16" s="213"/>
      <c r="AX16" s="214"/>
      <c r="AY16" s="210"/>
      <c r="AZ16" s="213"/>
      <c r="BA16" s="206"/>
      <c r="BB16" s="215"/>
      <c r="BC16" s="206"/>
      <c r="BD16" s="206"/>
      <c r="BE16" s="206"/>
      <c r="BF16" s="206"/>
      <c r="BG16" s="206"/>
      <c r="BH16" s="206"/>
      <c r="BI16" s="206"/>
      <c r="BJ16" s="206"/>
      <c r="BK16" s="206"/>
    </row>
    <row r="17" spans="1:63" ht="14.25" customHeight="1" x14ac:dyDescent="0.2">
      <c r="A17" s="1"/>
      <c r="B17" s="74">
        <v>2</v>
      </c>
      <c r="C17" s="75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P17" s="98"/>
      <c r="Q17" s="77"/>
      <c r="R17" s="77"/>
      <c r="S17" s="77"/>
      <c r="T17" s="77"/>
      <c r="U17" s="78"/>
      <c r="V17" s="99">
        <f>SUM(P17*I12/1000000)</f>
        <v>0</v>
      </c>
      <c r="W17" s="80"/>
      <c r="X17" s="80"/>
      <c r="Y17" s="75"/>
      <c r="Z17" s="18" t="e">
        <f>P17*100/P28</f>
        <v>#DIV/0!</v>
      </c>
      <c r="AA17" s="126"/>
      <c r="AB17" s="80"/>
      <c r="AC17" s="80"/>
      <c r="AD17" s="75"/>
      <c r="AE17" s="127">
        <f t="shared" si="0"/>
        <v>0</v>
      </c>
      <c r="AF17" s="80"/>
      <c r="AG17" s="80"/>
      <c r="AH17" s="75"/>
      <c r="AI17" s="74"/>
      <c r="AJ17" s="80"/>
      <c r="AK17" s="80"/>
      <c r="AL17" s="75"/>
      <c r="AM17" s="19"/>
      <c r="AN17" s="20"/>
      <c r="AO17" s="21">
        <f>+P17*AP31</f>
        <v>0</v>
      </c>
      <c r="AP17" s="22">
        <f t="shared" si="1"/>
        <v>0</v>
      </c>
      <c r="AQ17" s="21">
        <f t="shared" si="2"/>
        <v>0</v>
      </c>
      <c r="AR17" s="23"/>
      <c r="AS17" s="1"/>
      <c r="AT17" s="1"/>
      <c r="AU17" s="1"/>
      <c r="AV17" s="1"/>
      <c r="AW17" s="213"/>
      <c r="AX17" s="214"/>
      <c r="AY17" s="210"/>
      <c r="AZ17" s="213"/>
      <c r="BA17" s="206"/>
      <c r="BB17" s="215"/>
      <c r="BC17" s="206"/>
      <c r="BD17" s="206"/>
      <c r="BE17" s="206"/>
      <c r="BF17" s="206"/>
      <c r="BG17" s="206"/>
      <c r="BH17" s="206"/>
      <c r="BI17" s="206"/>
      <c r="BJ17" s="206"/>
      <c r="BK17" s="206"/>
    </row>
    <row r="18" spans="1:63" ht="14.25" customHeight="1" x14ac:dyDescent="0.2">
      <c r="A18" s="14"/>
      <c r="B18" s="74">
        <v>3</v>
      </c>
      <c r="C18" s="75"/>
      <c r="D18" s="82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98"/>
      <c r="Q18" s="77"/>
      <c r="R18" s="77"/>
      <c r="S18" s="77"/>
      <c r="T18" s="77"/>
      <c r="U18" s="78"/>
      <c r="V18" s="99">
        <f>SUM(P18*I12/1000000)</f>
        <v>0</v>
      </c>
      <c r="W18" s="80"/>
      <c r="X18" s="80"/>
      <c r="Y18" s="75"/>
      <c r="Z18" s="18" t="e">
        <f>P18*100/P28</f>
        <v>#DIV/0!</v>
      </c>
      <c r="AA18" s="126"/>
      <c r="AB18" s="80"/>
      <c r="AC18" s="80"/>
      <c r="AD18" s="75"/>
      <c r="AE18" s="127">
        <f t="shared" si="0"/>
        <v>0</v>
      </c>
      <c r="AF18" s="80"/>
      <c r="AG18" s="80"/>
      <c r="AH18" s="75"/>
      <c r="AI18" s="74"/>
      <c r="AJ18" s="80"/>
      <c r="AK18" s="80"/>
      <c r="AL18" s="75"/>
      <c r="AM18" s="19"/>
      <c r="AN18" s="20"/>
      <c r="AO18" s="21">
        <f>+P18*AP31</f>
        <v>0</v>
      </c>
      <c r="AP18" s="22">
        <f t="shared" si="1"/>
        <v>0</v>
      </c>
      <c r="AQ18" s="21">
        <f t="shared" si="2"/>
        <v>0</v>
      </c>
      <c r="AR18" s="14"/>
      <c r="AS18" s="14"/>
      <c r="AT18" s="14"/>
      <c r="AU18" s="14"/>
      <c r="AV18" s="14"/>
      <c r="AW18" s="210"/>
      <c r="AX18" s="211"/>
      <c r="AY18" s="210"/>
      <c r="AZ18" s="210"/>
      <c r="BA18" s="211"/>
      <c r="BB18" s="215"/>
      <c r="BC18" s="211"/>
      <c r="BD18" s="211"/>
      <c r="BE18" s="211"/>
      <c r="BF18" s="211"/>
      <c r="BG18" s="211"/>
      <c r="BH18" s="211"/>
      <c r="BI18" s="211"/>
      <c r="BJ18" s="211"/>
      <c r="BK18" s="211"/>
    </row>
    <row r="19" spans="1:63" ht="14.25" customHeight="1" x14ac:dyDescent="0.2">
      <c r="A19" s="1"/>
      <c r="B19" s="74">
        <v>4</v>
      </c>
      <c r="C19" s="75"/>
      <c r="D19" s="76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8"/>
      <c r="P19" s="98"/>
      <c r="Q19" s="77"/>
      <c r="R19" s="77"/>
      <c r="S19" s="77"/>
      <c r="T19" s="77"/>
      <c r="U19" s="78"/>
      <c r="V19" s="99">
        <f>SUM(P19*$I$12/1000000)</f>
        <v>0</v>
      </c>
      <c r="W19" s="80"/>
      <c r="X19" s="80"/>
      <c r="Y19" s="75"/>
      <c r="Z19" s="18" t="e">
        <f>P19*100/$P$28</f>
        <v>#DIV/0!</v>
      </c>
      <c r="AA19" s="126"/>
      <c r="AB19" s="80"/>
      <c r="AC19" s="80"/>
      <c r="AD19" s="75"/>
      <c r="AE19" s="127">
        <f t="shared" si="0"/>
        <v>0</v>
      </c>
      <c r="AF19" s="80"/>
      <c r="AG19" s="80"/>
      <c r="AH19" s="75"/>
      <c r="AI19" s="74"/>
      <c r="AJ19" s="80"/>
      <c r="AK19" s="80"/>
      <c r="AL19" s="75"/>
      <c r="AM19" s="19"/>
      <c r="AN19" s="20"/>
      <c r="AO19" s="21">
        <f>+P19*AP31</f>
        <v>0</v>
      </c>
      <c r="AP19" s="22">
        <f t="shared" si="1"/>
        <v>0</v>
      </c>
      <c r="AQ19" s="21">
        <f t="shared" si="2"/>
        <v>0</v>
      </c>
      <c r="AR19" s="23"/>
      <c r="AS19" s="1"/>
      <c r="AT19" s="1"/>
      <c r="AU19" s="1"/>
      <c r="AV19" s="5"/>
      <c r="AW19" s="213"/>
      <c r="AX19" s="214"/>
      <c r="AY19" s="210"/>
      <c r="AZ19" s="213"/>
      <c r="BA19" s="216"/>
      <c r="BB19" s="215"/>
      <c r="BC19" s="216"/>
      <c r="BD19" s="216"/>
      <c r="BE19" s="216"/>
      <c r="BF19" s="206"/>
      <c r="BG19" s="206"/>
      <c r="BH19" s="206"/>
      <c r="BI19" s="206"/>
      <c r="BJ19" s="206"/>
      <c r="BK19" s="217"/>
    </row>
    <row r="20" spans="1:63" ht="14.25" customHeight="1" x14ac:dyDescent="0.2">
      <c r="A20" s="1"/>
      <c r="B20" s="74">
        <v>5</v>
      </c>
      <c r="C20" s="75"/>
      <c r="D20" s="76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100"/>
      <c r="Q20" s="77"/>
      <c r="R20" s="77"/>
      <c r="S20" s="77"/>
      <c r="T20" s="77"/>
      <c r="U20" s="78"/>
      <c r="V20" s="99">
        <f>SUM(P20*I12/1000000)</f>
        <v>0</v>
      </c>
      <c r="W20" s="80"/>
      <c r="X20" s="80"/>
      <c r="Y20" s="75"/>
      <c r="Z20" s="18" t="e">
        <f>P20*100/P28</f>
        <v>#DIV/0!</v>
      </c>
      <c r="AA20" s="128"/>
      <c r="AB20" s="129"/>
      <c r="AC20" s="129"/>
      <c r="AD20" s="130"/>
      <c r="AE20" s="127">
        <f>SUM(AA20/1000000*P20)</f>
        <v>0</v>
      </c>
      <c r="AF20" s="80"/>
      <c r="AG20" s="80"/>
      <c r="AH20" s="75"/>
      <c r="AI20" s="74"/>
      <c r="AJ20" s="80"/>
      <c r="AK20" s="80"/>
      <c r="AL20" s="75"/>
      <c r="AM20" s="29"/>
      <c r="AN20" s="20"/>
      <c r="AO20" s="21">
        <f>+P20*AP31</f>
        <v>0</v>
      </c>
      <c r="AP20" s="22">
        <f>+AO20/1000</f>
        <v>0</v>
      </c>
      <c r="AQ20" s="21">
        <f>SUM(AA20/1000000*AO20)</f>
        <v>0</v>
      </c>
      <c r="AR20" s="1"/>
      <c r="AS20" s="1"/>
      <c r="AT20" s="1"/>
      <c r="AU20" s="1"/>
      <c r="AV20" s="5"/>
      <c r="AW20" s="213"/>
      <c r="AX20" s="214"/>
      <c r="AY20" s="210"/>
      <c r="AZ20" s="213"/>
      <c r="BA20" s="216"/>
      <c r="BB20" s="215"/>
      <c r="BC20" s="216"/>
      <c r="BD20" s="216"/>
      <c r="BE20" s="216"/>
      <c r="BF20" s="206"/>
      <c r="BG20" s="206"/>
      <c r="BH20" s="206"/>
      <c r="BI20" s="206"/>
      <c r="BJ20" s="206"/>
      <c r="BK20" s="206"/>
    </row>
    <row r="21" spans="1:63" ht="14.25" customHeight="1" x14ac:dyDescent="0.2">
      <c r="A21" s="14"/>
      <c r="B21" s="74">
        <v>6</v>
      </c>
      <c r="C21" s="75"/>
      <c r="D21" s="76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8"/>
      <c r="P21" s="131"/>
      <c r="Q21" s="77"/>
      <c r="R21" s="77"/>
      <c r="S21" s="77"/>
      <c r="T21" s="77"/>
      <c r="U21" s="78"/>
      <c r="V21" s="99">
        <f>SUM(P21*I12/1000000)</f>
        <v>0</v>
      </c>
      <c r="W21" s="80"/>
      <c r="X21" s="80"/>
      <c r="Y21" s="75"/>
      <c r="Z21" s="27" t="e">
        <f>P21*100/P28</f>
        <v>#DIV/0!</v>
      </c>
      <c r="AA21" s="126"/>
      <c r="AB21" s="80"/>
      <c r="AC21" s="80"/>
      <c r="AD21" s="75"/>
      <c r="AE21" s="127">
        <f t="shared" si="0"/>
        <v>0</v>
      </c>
      <c r="AF21" s="80"/>
      <c r="AG21" s="80"/>
      <c r="AH21" s="75"/>
      <c r="AI21" s="74"/>
      <c r="AJ21" s="80"/>
      <c r="AK21" s="80"/>
      <c r="AL21" s="75"/>
      <c r="AM21" s="28"/>
      <c r="AN21" s="20"/>
      <c r="AO21" s="21">
        <f>+P21*AP31</f>
        <v>0</v>
      </c>
      <c r="AP21" s="22">
        <f t="shared" si="1"/>
        <v>0</v>
      </c>
      <c r="AQ21" s="21">
        <f t="shared" si="2"/>
        <v>0</v>
      </c>
      <c r="AR21" s="14"/>
      <c r="AS21" s="14"/>
      <c r="AT21" s="14"/>
      <c r="AU21" s="14"/>
      <c r="AV21" s="14"/>
      <c r="AW21" s="210"/>
      <c r="AX21" s="211"/>
      <c r="AY21" s="210"/>
      <c r="AZ21" s="210"/>
      <c r="BA21" s="211"/>
      <c r="BB21" s="215"/>
      <c r="BC21" s="211"/>
      <c r="BD21" s="211"/>
      <c r="BE21" s="211"/>
      <c r="BF21" s="211"/>
      <c r="BG21" s="211"/>
      <c r="BH21" s="211"/>
      <c r="BI21" s="211"/>
      <c r="BJ21" s="211"/>
      <c r="BK21" s="211"/>
    </row>
    <row r="22" spans="1:63" ht="14.25" customHeight="1" x14ac:dyDescent="0.2">
      <c r="A22" s="14"/>
      <c r="B22" s="74">
        <v>7</v>
      </c>
      <c r="C22" s="75"/>
      <c r="D22" s="76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8"/>
      <c r="P22" s="128"/>
      <c r="Q22" s="129"/>
      <c r="R22" s="129"/>
      <c r="S22" s="129"/>
      <c r="T22" s="129"/>
      <c r="U22" s="130"/>
      <c r="V22" s="99">
        <f>SUM(P22*I12/1000000)</f>
        <v>0</v>
      </c>
      <c r="W22" s="80"/>
      <c r="X22" s="80"/>
      <c r="Y22" s="75"/>
      <c r="Z22" s="27" t="e">
        <f>P22*100/P28</f>
        <v>#DIV/0!</v>
      </c>
      <c r="AA22" s="132"/>
      <c r="AB22" s="87"/>
      <c r="AC22" s="87"/>
      <c r="AD22" s="88"/>
      <c r="AE22" s="127">
        <f t="shared" si="0"/>
        <v>0</v>
      </c>
      <c r="AF22" s="80"/>
      <c r="AG22" s="80"/>
      <c r="AH22" s="75"/>
      <c r="AI22" s="74"/>
      <c r="AJ22" s="80"/>
      <c r="AK22" s="80"/>
      <c r="AL22" s="75"/>
      <c r="AM22" s="28"/>
      <c r="AN22" s="20"/>
      <c r="AO22" s="21">
        <f>+P22*AP31</f>
        <v>0</v>
      </c>
      <c r="AP22" s="22">
        <f t="shared" si="1"/>
        <v>0</v>
      </c>
      <c r="AQ22" s="21">
        <f t="shared" si="2"/>
        <v>0</v>
      </c>
      <c r="AR22" s="14"/>
      <c r="AS22" s="14"/>
      <c r="AT22" s="14"/>
      <c r="AU22" s="14"/>
      <c r="AV22" s="14"/>
      <c r="AW22" s="210"/>
      <c r="AX22" s="211"/>
      <c r="AY22" s="210"/>
      <c r="AZ22" s="210"/>
      <c r="BA22" s="211"/>
      <c r="BB22" s="215"/>
      <c r="BC22" s="211"/>
      <c r="BD22" s="211"/>
      <c r="BE22" s="211"/>
      <c r="BF22" s="211"/>
      <c r="BG22" s="211"/>
      <c r="BH22" s="211"/>
      <c r="BI22" s="211"/>
      <c r="BJ22" s="211"/>
      <c r="BK22" s="211"/>
    </row>
    <row r="23" spans="1:63" ht="14.25" customHeight="1" x14ac:dyDescent="0.2">
      <c r="A23" s="1"/>
      <c r="B23" s="74">
        <v>8</v>
      </c>
      <c r="C23" s="75"/>
      <c r="D23" s="76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8"/>
      <c r="P23" s="98"/>
      <c r="Q23" s="77"/>
      <c r="R23" s="77"/>
      <c r="S23" s="77"/>
      <c r="T23" s="77"/>
      <c r="U23" s="78"/>
      <c r="V23" s="99">
        <f>SUM(P23*I12/1000000)</f>
        <v>0</v>
      </c>
      <c r="W23" s="80"/>
      <c r="X23" s="80"/>
      <c r="Y23" s="75"/>
      <c r="Z23" s="18" t="e">
        <f>P23*100/P28</f>
        <v>#DIV/0!</v>
      </c>
      <c r="AA23" s="132"/>
      <c r="AB23" s="87"/>
      <c r="AC23" s="87"/>
      <c r="AD23" s="88"/>
      <c r="AE23" s="127">
        <f t="shared" si="0"/>
        <v>0</v>
      </c>
      <c r="AF23" s="80"/>
      <c r="AG23" s="80"/>
      <c r="AH23" s="75"/>
      <c r="AI23" s="74"/>
      <c r="AJ23" s="80"/>
      <c r="AK23" s="80"/>
      <c r="AL23" s="75"/>
      <c r="AM23" s="19"/>
      <c r="AN23" s="20"/>
      <c r="AO23" s="21">
        <f>+P23*AP31</f>
        <v>0</v>
      </c>
      <c r="AP23" s="22">
        <f t="shared" si="1"/>
        <v>0</v>
      </c>
      <c r="AQ23" s="21">
        <f t="shared" si="2"/>
        <v>0</v>
      </c>
      <c r="AR23" s="1"/>
      <c r="AS23" s="1"/>
      <c r="AT23" s="1"/>
      <c r="AU23" s="1"/>
      <c r="AV23" s="1"/>
      <c r="AW23" s="213"/>
      <c r="AX23" s="214"/>
      <c r="AY23" s="218"/>
      <c r="AZ23" s="213"/>
      <c r="BA23" s="216"/>
      <c r="BB23" s="219"/>
      <c r="BC23" s="216"/>
      <c r="BD23" s="216"/>
      <c r="BE23" s="216"/>
      <c r="BF23" s="206"/>
      <c r="BG23" s="206"/>
      <c r="BH23" s="206"/>
      <c r="BI23" s="206"/>
      <c r="BJ23" s="206"/>
      <c r="BK23" s="206"/>
    </row>
    <row r="24" spans="1:63" ht="14.25" customHeight="1" x14ac:dyDescent="0.2">
      <c r="A24" s="14"/>
      <c r="B24" s="74">
        <v>9</v>
      </c>
      <c r="C24" s="75"/>
      <c r="D24" s="76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8"/>
      <c r="P24" s="98"/>
      <c r="Q24" s="77"/>
      <c r="R24" s="77"/>
      <c r="S24" s="77"/>
      <c r="T24" s="77"/>
      <c r="U24" s="78"/>
      <c r="V24" s="99">
        <f>SUM(P24*I12/1000000)</f>
        <v>0</v>
      </c>
      <c r="W24" s="80"/>
      <c r="X24" s="80"/>
      <c r="Y24" s="75"/>
      <c r="Z24" s="18" t="e">
        <f>P24*100/P28</f>
        <v>#DIV/0!</v>
      </c>
      <c r="AA24" s="126"/>
      <c r="AB24" s="80"/>
      <c r="AC24" s="80"/>
      <c r="AD24" s="75"/>
      <c r="AE24" s="127">
        <f t="shared" si="0"/>
        <v>0</v>
      </c>
      <c r="AF24" s="80"/>
      <c r="AG24" s="80"/>
      <c r="AH24" s="75"/>
      <c r="AI24" s="74"/>
      <c r="AJ24" s="80"/>
      <c r="AK24" s="80"/>
      <c r="AL24" s="75"/>
      <c r="AM24" s="19"/>
      <c r="AN24" s="20"/>
      <c r="AO24" s="21">
        <f>+P24*AP31</f>
        <v>0</v>
      </c>
      <c r="AP24" s="22">
        <f t="shared" si="1"/>
        <v>0</v>
      </c>
      <c r="AQ24" s="21">
        <f t="shared" si="2"/>
        <v>0</v>
      </c>
      <c r="AR24" s="14"/>
      <c r="AS24" s="14"/>
      <c r="AT24" s="14"/>
      <c r="AU24" s="14"/>
      <c r="AV24" s="14"/>
      <c r="AW24" s="210"/>
      <c r="AX24" s="211"/>
      <c r="AY24" s="210"/>
      <c r="AZ24" s="210"/>
      <c r="BA24" s="211"/>
      <c r="BB24" s="215"/>
      <c r="BC24" s="211"/>
      <c r="BD24" s="211"/>
      <c r="BE24" s="211"/>
      <c r="BF24" s="211"/>
      <c r="BG24" s="211"/>
      <c r="BH24" s="211"/>
      <c r="BI24" s="211"/>
      <c r="BJ24" s="211"/>
      <c r="BK24" s="211"/>
    </row>
    <row r="25" spans="1:63" ht="14.25" customHeight="1" x14ac:dyDescent="0.2">
      <c r="A25" s="1"/>
      <c r="B25" s="74">
        <v>10</v>
      </c>
      <c r="C25" s="75"/>
      <c r="D25" s="79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75"/>
      <c r="P25" s="134"/>
      <c r="Q25" s="80"/>
      <c r="R25" s="80"/>
      <c r="S25" s="80"/>
      <c r="T25" s="80"/>
      <c r="U25" s="75"/>
      <c r="V25" s="99">
        <f>SUM(P25*I12/1000000)</f>
        <v>0</v>
      </c>
      <c r="W25" s="80"/>
      <c r="X25" s="80"/>
      <c r="Y25" s="75"/>
      <c r="Z25" s="18" t="e">
        <f>P25*100/P28</f>
        <v>#DIV/0!</v>
      </c>
      <c r="AA25" s="126"/>
      <c r="AB25" s="80"/>
      <c r="AC25" s="80"/>
      <c r="AD25" s="75"/>
      <c r="AE25" s="127">
        <f t="shared" si="0"/>
        <v>0</v>
      </c>
      <c r="AF25" s="80"/>
      <c r="AG25" s="80"/>
      <c r="AH25" s="75"/>
      <c r="AI25" s="74"/>
      <c r="AJ25" s="80"/>
      <c r="AK25" s="80"/>
      <c r="AL25" s="75"/>
      <c r="AM25" s="19"/>
      <c r="AN25" s="20"/>
      <c r="AO25" s="21">
        <f>+P25*AP31</f>
        <v>0</v>
      </c>
      <c r="AP25" s="22">
        <f t="shared" si="1"/>
        <v>0</v>
      </c>
      <c r="AQ25" s="21">
        <f t="shared" si="2"/>
        <v>0</v>
      </c>
      <c r="AR25" s="1"/>
      <c r="AS25" s="1"/>
      <c r="AT25" s="1"/>
      <c r="AU25" s="1"/>
      <c r="AV25" s="1"/>
      <c r="AW25" s="213"/>
      <c r="AX25" s="214"/>
      <c r="AY25" s="210"/>
      <c r="AZ25" s="213"/>
      <c r="BA25" s="206"/>
      <c r="BB25" s="215"/>
      <c r="BC25" s="206"/>
      <c r="BD25" s="206"/>
      <c r="BE25" s="206"/>
      <c r="BF25" s="206"/>
      <c r="BG25" s="206"/>
      <c r="BH25" s="206"/>
      <c r="BI25" s="206"/>
      <c r="BJ25" s="206"/>
      <c r="BK25" s="206"/>
    </row>
    <row r="26" spans="1:63" ht="14.25" customHeight="1" x14ac:dyDescent="0.2">
      <c r="A26" s="1"/>
      <c r="B26" s="74">
        <v>11</v>
      </c>
      <c r="C26" s="75"/>
      <c r="D26" s="81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75"/>
      <c r="P26" s="135"/>
      <c r="Q26" s="87"/>
      <c r="R26" s="87"/>
      <c r="S26" s="87"/>
      <c r="T26" s="87"/>
      <c r="U26" s="88"/>
      <c r="V26" s="99">
        <f>SUM(P26*I12/1000000)</f>
        <v>0</v>
      </c>
      <c r="W26" s="80"/>
      <c r="X26" s="80"/>
      <c r="Y26" s="75"/>
      <c r="Z26" s="30" t="e">
        <f>P26*100/P28</f>
        <v>#DIV/0!</v>
      </c>
      <c r="AA26" s="132"/>
      <c r="AB26" s="87"/>
      <c r="AC26" s="87"/>
      <c r="AD26" s="88"/>
      <c r="AE26" s="127">
        <f t="shared" si="0"/>
        <v>0</v>
      </c>
      <c r="AF26" s="80"/>
      <c r="AG26" s="80"/>
      <c r="AH26" s="75"/>
      <c r="AI26" s="74"/>
      <c r="AJ26" s="80"/>
      <c r="AK26" s="80"/>
      <c r="AL26" s="75"/>
      <c r="AM26" s="19"/>
      <c r="AN26" s="20"/>
      <c r="AO26" s="21">
        <f>+P26*AP31</f>
        <v>0</v>
      </c>
      <c r="AP26" s="22">
        <f t="shared" si="1"/>
        <v>0</v>
      </c>
      <c r="AQ26" s="21">
        <f t="shared" si="2"/>
        <v>0</v>
      </c>
      <c r="AR26" s="1"/>
      <c r="AS26" s="1"/>
      <c r="AT26" s="1"/>
      <c r="AU26" s="1"/>
      <c r="AV26" s="1"/>
      <c r="AW26" s="214"/>
      <c r="AX26" s="214"/>
      <c r="AY26" s="214"/>
      <c r="AZ26" s="214"/>
      <c r="BA26" s="216"/>
      <c r="BB26" s="216"/>
      <c r="BC26" s="216"/>
      <c r="BD26" s="216"/>
      <c r="BE26" s="216"/>
      <c r="BF26" s="206"/>
      <c r="BG26" s="206"/>
      <c r="BH26" s="206"/>
      <c r="BI26" s="206"/>
      <c r="BJ26" s="206"/>
      <c r="BK26" s="206"/>
    </row>
    <row r="27" spans="1:63" ht="14.25" customHeight="1" x14ac:dyDescent="0.2">
      <c r="A27" s="1"/>
      <c r="B27" s="74">
        <v>12</v>
      </c>
      <c r="C27" s="75"/>
      <c r="D27" s="81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75"/>
      <c r="P27" s="136"/>
      <c r="Q27" s="80"/>
      <c r="R27" s="80"/>
      <c r="S27" s="80"/>
      <c r="T27" s="80"/>
      <c r="U27" s="75"/>
      <c r="V27" s="99">
        <f>SUM(P27*I12/1000000)</f>
        <v>0</v>
      </c>
      <c r="W27" s="80"/>
      <c r="X27" s="80"/>
      <c r="Y27" s="75"/>
      <c r="Z27" s="30" t="e">
        <f>P27*100/P28</f>
        <v>#DIV/0!</v>
      </c>
      <c r="AA27" s="132"/>
      <c r="AB27" s="87"/>
      <c r="AC27" s="87"/>
      <c r="AD27" s="88"/>
      <c r="AE27" s="127">
        <f t="shared" si="0"/>
        <v>0</v>
      </c>
      <c r="AF27" s="80"/>
      <c r="AG27" s="80"/>
      <c r="AH27" s="75"/>
      <c r="AI27" s="74"/>
      <c r="AJ27" s="80"/>
      <c r="AK27" s="80"/>
      <c r="AL27" s="75"/>
      <c r="AM27" s="19"/>
      <c r="AN27" s="20"/>
      <c r="AO27" s="21">
        <f>+P27*AP31</f>
        <v>0</v>
      </c>
      <c r="AP27" s="22">
        <f t="shared" si="1"/>
        <v>0</v>
      </c>
      <c r="AQ27" s="21">
        <f t="shared" si="2"/>
        <v>0</v>
      </c>
      <c r="AR27" s="1"/>
      <c r="AS27" s="1"/>
      <c r="AT27" s="1"/>
      <c r="AU27" s="1"/>
      <c r="AV27" s="7"/>
      <c r="AW27" s="214"/>
      <c r="AX27" s="214"/>
      <c r="AY27" s="216"/>
      <c r="AZ27" s="216"/>
      <c r="BA27" s="216"/>
      <c r="BB27" s="216"/>
      <c r="BC27" s="216"/>
      <c r="BD27" s="216"/>
      <c r="BE27" s="216"/>
      <c r="BF27" s="206"/>
      <c r="BG27" s="206"/>
      <c r="BH27" s="206"/>
      <c r="BI27" s="206"/>
      <c r="BJ27" s="206"/>
      <c r="BK27" s="206"/>
    </row>
    <row r="28" spans="1:63" ht="15" customHeight="1" x14ac:dyDescent="0.2">
      <c r="A28" s="1"/>
      <c r="B28" s="158" t="s">
        <v>37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146"/>
      <c r="P28" s="154">
        <f>SUM(P16:U27)</f>
        <v>0</v>
      </c>
      <c r="Q28" s="155"/>
      <c r="R28" s="155"/>
      <c r="S28" s="155"/>
      <c r="T28" s="155"/>
      <c r="U28" s="156"/>
      <c r="V28" s="157">
        <f>SUM(V16:Y27)</f>
        <v>0</v>
      </c>
      <c r="W28" s="155"/>
      <c r="X28" s="155"/>
      <c r="Y28" s="156"/>
      <c r="Z28" s="31" t="e">
        <f>SUM(Z16:Z27)</f>
        <v>#DIV/0!</v>
      </c>
      <c r="AA28" s="133"/>
      <c r="AB28" s="87"/>
      <c r="AC28" s="87"/>
      <c r="AD28" s="88"/>
      <c r="AE28" s="148" t="s">
        <v>38</v>
      </c>
      <c r="AF28" s="80"/>
      <c r="AG28" s="80"/>
      <c r="AH28" s="80"/>
      <c r="AI28" s="80"/>
      <c r="AJ28" s="80"/>
      <c r="AK28" s="80"/>
      <c r="AL28" s="75"/>
      <c r="AM28" s="32"/>
      <c r="AN28" s="33">
        <f>SUM(AN20:AN27)</f>
        <v>0</v>
      </c>
      <c r="AO28" s="149">
        <f>+AE31*AP31</f>
        <v>0</v>
      </c>
      <c r="AP28" s="80"/>
      <c r="AQ28" s="75"/>
      <c r="AR28" s="1"/>
      <c r="AS28" s="1"/>
      <c r="AT28" s="1"/>
      <c r="AU28" s="1"/>
      <c r="AV28" s="34"/>
      <c r="AW28" s="35"/>
      <c r="AX28" s="26"/>
      <c r="AZ28" s="26"/>
      <c r="BA28" s="26"/>
      <c r="BB28" s="26"/>
      <c r="BC28" s="26"/>
      <c r="BD28" s="26"/>
      <c r="BE28" s="24"/>
      <c r="BF28" s="24"/>
      <c r="BG28" s="24"/>
      <c r="BH28" s="24"/>
      <c r="BI28" s="24"/>
      <c r="BJ28" s="25"/>
      <c r="BK28" s="25"/>
    </row>
    <row r="29" spans="1:63" ht="15.75" customHeight="1" x14ac:dyDescent="0.2">
      <c r="A29" s="1"/>
      <c r="B29" s="150" t="s">
        <v>39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75"/>
      <c r="AR29" s="1"/>
      <c r="AS29" s="1"/>
      <c r="AT29" s="1"/>
      <c r="AU29" s="1"/>
      <c r="AV29" s="34"/>
      <c r="AW29" s="34"/>
      <c r="AX29" s="26"/>
      <c r="AY29" s="26"/>
      <c r="AZ29" s="26"/>
      <c r="BA29" s="26"/>
      <c r="BB29" s="26"/>
      <c r="BC29" s="26"/>
      <c r="BD29" s="26"/>
      <c r="BE29" s="24"/>
      <c r="BF29" s="24"/>
      <c r="BG29" s="24"/>
      <c r="BH29" s="24"/>
      <c r="BI29" s="24"/>
      <c r="BJ29" s="25"/>
      <c r="BK29" s="25"/>
    </row>
    <row r="30" spans="1:63" ht="15.75" customHeight="1" x14ac:dyDescent="0.2">
      <c r="A30" s="1"/>
      <c r="B30" s="150" t="s">
        <v>40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75"/>
      <c r="AR30" s="36"/>
      <c r="AS30" s="36"/>
      <c r="AT30" s="36"/>
      <c r="AU30" s="36"/>
      <c r="AV30" s="36"/>
      <c r="AW30" s="36"/>
      <c r="AX30" s="36"/>
      <c r="AY30" s="26"/>
      <c r="AZ30" s="26"/>
      <c r="BA30" s="26"/>
      <c r="BB30" s="26"/>
      <c r="BC30" s="26"/>
      <c r="BD30" s="26"/>
      <c r="BE30" s="24"/>
      <c r="BF30" s="24"/>
      <c r="BG30" s="24"/>
      <c r="BH30" s="24"/>
      <c r="BI30" s="24"/>
      <c r="BJ30" s="25"/>
      <c r="BK30" s="25"/>
    </row>
    <row r="31" spans="1:63" ht="15" customHeight="1" x14ac:dyDescent="0.2">
      <c r="A31" s="1"/>
      <c r="B31" s="151" t="s">
        <v>78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75"/>
      <c r="AA31" s="152" t="s">
        <v>41</v>
      </c>
      <c r="AB31" s="80"/>
      <c r="AC31" s="80"/>
      <c r="AD31" s="75"/>
      <c r="AE31" s="153">
        <v>0</v>
      </c>
      <c r="AF31" s="105"/>
      <c r="AG31" s="105"/>
      <c r="AH31" s="104"/>
      <c r="AI31" s="145"/>
      <c r="AJ31" s="146"/>
      <c r="AK31" s="37"/>
      <c r="AL31" s="37"/>
      <c r="AM31" s="37"/>
      <c r="AN31" s="147" t="s">
        <v>42</v>
      </c>
      <c r="AO31" s="75"/>
      <c r="AP31" s="38">
        <f>30/0.981</f>
        <v>30.581039755351682</v>
      </c>
      <c r="AQ31" s="39" t="str">
        <f>+T12</f>
        <v>แคปซูล</v>
      </c>
      <c r="AR31" s="1"/>
      <c r="AS31" s="1"/>
      <c r="AT31" s="1"/>
      <c r="AU31" s="1"/>
      <c r="AV31" s="34"/>
      <c r="AW31" s="34"/>
      <c r="AX31" s="26"/>
      <c r="AY31" s="26"/>
      <c r="AZ31" s="26"/>
      <c r="BA31" s="26"/>
      <c r="BB31" s="26"/>
      <c r="BC31" s="26"/>
      <c r="BD31" s="26"/>
      <c r="BE31" s="24"/>
      <c r="BF31" s="24"/>
      <c r="BG31" s="24"/>
      <c r="BH31" s="24"/>
      <c r="BI31" s="24"/>
      <c r="BJ31" s="25"/>
      <c r="BK31" s="25"/>
    </row>
    <row r="32" spans="1:63" ht="15" customHeight="1" x14ac:dyDescent="0.2">
      <c r="A32" s="26"/>
      <c r="B32" s="16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169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26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</row>
    <row r="33" spans="1:63" ht="15" customHeight="1" x14ac:dyDescent="0.2">
      <c r="A33" s="26"/>
      <c r="B33" s="159" t="s">
        <v>43</v>
      </c>
      <c r="C33" s="80"/>
      <c r="D33" s="80"/>
      <c r="E33" s="80"/>
      <c r="F33" s="80"/>
      <c r="G33" s="80"/>
      <c r="H33" s="80"/>
      <c r="I33" s="80"/>
      <c r="J33" s="75"/>
      <c r="K33" s="170">
        <f>SUM(AE16:AH31)</f>
        <v>0</v>
      </c>
      <c r="L33" s="155"/>
      <c r="M33" s="155"/>
      <c r="N33" s="156"/>
      <c r="O33" s="40">
        <f>K33-AE31</f>
        <v>0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5"/>
      <c r="AD33" s="5"/>
      <c r="AE33" s="5"/>
      <c r="AF33" s="5"/>
      <c r="AG33" s="5"/>
      <c r="AH33" s="5"/>
      <c r="AI33" s="159" t="s">
        <v>44</v>
      </c>
      <c r="AJ33" s="80"/>
      <c r="AK33" s="80"/>
      <c r="AL33" s="80"/>
      <c r="AM33" s="80"/>
      <c r="AN33" s="75"/>
      <c r="AO33" s="170">
        <f>SUM(I12*K33)</f>
        <v>0</v>
      </c>
      <c r="AP33" s="155"/>
      <c r="AQ33" s="15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</row>
    <row r="34" spans="1:63" ht="15" customHeight="1" x14ac:dyDescent="0.2">
      <c r="A34" s="26"/>
      <c r="B34" s="159" t="s">
        <v>45</v>
      </c>
      <c r="C34" s="80"/>
      <c r="D34" s="80"/>
      <c r="E34" s="80"/>
      <c r="F34" s="80"/>
      <c r="G34" s="80"/>
      <c r="H34" s="80"/>
      <c r="I34" s="80"/>
      <c r="J34" s="75"/>
      <c r="K34" s="171"/>
      <c r="L34" s="161"/>
      <c r="M34" s="161"/>
      <c r="N34" s="162"/>
      <c r="O34" s="40">
        <f>K34-AE31</f>
        <v>0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5"/>
      <c r="AD34" s="5"/>
      <c r="AE34" s="5"/>
      <c r="AF34" s="5"/>
      <c r="AG34" s="5"/>
      <c r="AH34" s="5"/>
      <c r="AI34" s="159" t="s">
        <v>46</v>
      </c>
      <c r="AJ34" s="80"/>
      <c r="AK34" s="80"/>
      <c r="AL34" s="80"/>
      <c r="AM34" s="80"/>
      <c r="AN34" s="75"/>
      <c r="AO34" s="160">
        <f>SUM(I12*K34)</f>
        <v>0</v>
      </c>
      <c r="AP34" s="161"/>
      <c r="AQ34" s="162"/>
      <c r="AR34" s="26"/>
      <c r="AS34" s="7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</row>
    <row r="35" spans="1:63" ht="15" customHeight="1" x14ac:dyDescent="0.2">
      <c r="A35" s="26"/>
      <c r="B35" s="159" t="s">
        <v>47</v>
      </c>
      <c r="C35" s="80"/>
      <c r="D35" s="80"/>
      <c r="E35" s="80"/>
      <c r="F35" s="80"/>
      <c r="G35" s="80"/>
      <c r="H35" s="80"/>
      <c r="I35" s="80"/>
      <c r="J35" s="75"/>
      <c r="K35" s="160">
        <f>SUM(K34-K33)</f>
        <v>0</v>
      </c>
      <c r="L35" s="161"/>
      <c r="M35" s="161"/>
      <c r="N35" s="162"/>
      <c r="O35" s="40">
        <f>O34-O33</f>
        <v>0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41" t="e">
        <f>O35*100/O34</f>
        <v>#DIV/0!</v>
      </c>
      <c r="AA35" s="26"/>
      <c r="AB35" s="26"/>
      <c r="AC35" s="5"/>
      <c r="AD35" s="5"/>
      <c r="AE35" s="5"/>
      <c r="AF35" s="5"/>
      <c r="AG35" s="5"/>
      <c r="AH35" s="5"/>
      <c r="AI35" s="159" t="s">
        <v>48</v>
      </c>
      <c r="AJ35" s="80"/>
      <c r="AK35" s="80"/>
      <c r="AL35" s="80"/>
      <c r="AM35" s="80"/>
      <c r="AN35" s="75"/>
      <c r="AO35" s="160">
        <f>SUM(AO34-AO33)</f>
        <v>0</v>
      </c>
      <c r="AP35" s="161"/>
      <c r="AQ35" s="162"/>
      <c r="AR35" s="26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ht="15" customHeight="1" x14ac:dyDescent="0.2">
      <c r="A36" s="26"/>
      <c r="B36" s="163" t="s">
        <v>49</v>
      </c>
      <c r="C36" s="80"/>
      <c r="D36" s="80"/>
      <c r="E36" s="80"/>
      <c r="F36" s="80"/>
      <c r="G36" s="80"/>
      <c r="H36" s="80"/>
      <c r="I36" s="80"/>
      <c r="J36" s="75"/>
      <c r="K36" s="164">
        <f>SUM(AQ20:AQ28)</f>
        <v>0</v>
      </c>
      <c r="L36" s="161"/>
      <c r="M36" s="161"/>
      <c r="N36" s="162"/>
      <c r="O36" s="42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5"/>
      <c r="AD36" s="5"/>
      <c r="AE36" s="5"/>
      <c r="AF36" s="5"/>
      <c r="AG36" s="5"/>
      <c r="AH36" s="5"/>
      <c r="AI36" s="163" t="s">
        <v>50</v>
      </c>
      <c r="AJ36" s="80"/>
      <c r="AK36" s="80"/>
      <c r="AL36" s="80"/>
      <c r="AM36" s="80"/>
      <c r="AN36" s="75"/>
      <c r="AO36" s="164">
        <f>+AO35-AN28</f>
        <v>0</v>
      </c>
      <c r="AP36" s="161"/>
      <c r="AQ36" s="162"/>
      <c r="AR36" s="1"/>
      <c r="AS36" s="1"/>
      <c r="AT36" s="34"/>
      <c r="AU36" s="43"/>
      <c r="AV36" s="34"/>
      <c r="AW36" s="34"/>
      <c r="AX36" s="34"/>
      <c r="AY36" s="44"/>
      <c r="AZ36" s="44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1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</row>
    <row r="38" spans="1:63" ht="15" customHeight="1" x14ac:dyDescent="0.2">
      <c r="A38" s="26"/>
      <c r="B38" s="172" t="s">
        <v>51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75"/>
      <c r="N38" s="46"/>
      <c r="O38" s="26"/>
      <c r="P38" s="26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48"/>
      <c r="AP38" s="48"/>
      <c r="AQ38" s="7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</row>
    <row r="39" spans="1:63" ht="15" customHeight="1" x14ac:dyDescent="0.2">
      <c r="A39" s="26"/>
      <c r="B39" s="17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46"/>
      <c r="O39" s="26"/>
      <c r="P39" s="26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49"/>
      <c r="AP39" s="49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</row>
    <row r="40" spans="1:63" ht="15" customHeight="1" x14ac:dyDescent="0.2">
      <c r="A40" s="26"/>
      <c r="B40" s="139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1"/>
      <c r="N40" s="46"/>
      <c r="O40" s="26"/>
      <c r="P40" s="2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26"/>
      <c r="AD40" s="26"/>
      <c r="AE40" s="26"/>
      <c r="AF40" s="26"/>
      <c r="AG40" s="26"/>
      <c r="AH40" s="26"/>
      <c r="AI40" s="165" t="s">
        <v>52</v>
      </c>
      <c r="AJ40" s="166"/>
      <c r="AK40" s="166"/>
      <c r="AL40" s="166"/>
      <c r="AM40" s="166"/>
      <c r="AN40" s="166"/>
      <c r="AO40" s="1" t="s">
        <v>53</v>
      </c>
      <c r="AP40" s="1"/>
      <c r="AQ40" s="48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</row>
    <row r="41" spans="1:63" ht="15" customHeight="1" x14ac:dyDescent="0.2">
      <c r="A41" s="26"/>
      <c r="B41" s="139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1"/>
      <c r="N41" s="46"/>
      <c r="O41" s="50" t="s">
        <v>54</v>
      </c>
      <c r="P41" s="4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26"/>
      <c r="AD41" s="26"/>
      <c r="AE41" s="26"/>
      <c r="AF41" s="26"/>
      <c r="AG41" s="26"/>
      <c r="AH41" s="26"/>
      <c r="AI41" s="167">
        <f>AJ8</f>
        <v>0</v>
      </c>
      <c r="AJ41" s="168"/>
      <c r="AK41" s="168"/>
      <c r="AL41" s="168"/>
      <c r="AM41" s="168"/>
      <c r="AN41" s="168"/>
      <c r="AO41" s="1"/>
      <c r="AP41" s="1"/>
      <c r="AQ41" s="48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</row>
    <row r="42" spans="1:63" ht="15" customHeight="1" x14ac:dyDescent="0.2">
      <c r="A42" s="26"/>
      <c r="B42" s="139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1"/>
      <c r="N42" s="46"/>
      <c r="O42" s="51" t="s">
        <v>55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52"/>
      <c r="AP42" s="52"/>
      <c r="AQ42" s="49"/>
      <c r="AR42" s="26"/>
      <c r="AS42" s="26"/>
      <c r="AT42" s="26"/>
      <c r="AU42" s="26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ht="15" customHeight="1" x14ac:dyDescent="0.2">
      <c r="A43" s="26"/>
      <c r="B43" s="139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1"/>
      <c r="N43" s="46"/>
      <c r="O43" s="51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52"/>
      <c r="AP43" s="52"/>
      <c r="AQ43" s="49"/>
      <c r="AR43" s="26"/>
      <c r="AS43" s="26"/>
      <c r="AT43" s="26"/>
      <c r="AU43" s="26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15" customHeight="1" x14ac:dyDescent="0.2">
      <c r="A44" s="26"/>
      <c r="B44" s="142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4"/>
      <c r="N44" s="46"/>
      <c r="O44" s="26"/>
      <c r="P44" s="26"/>
      <c r="Q44" s="50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</row>
    <row r="45" spans="1:63" ht="1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36"/>
      <c r="P45" s="36"/>
      <c r="Q45" s="36"/>
      <c r="R45" s="36"/>
      <c r="S45" s="36"/>
      <c r="T45" s="36"/>
      <c r="U45" s="36"/>
      <c r="V45" s="36"/>
      <c r="W45" s="36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</row>
    <row r="46" spans="1:63" ht="15" customHeight="1" x14ac:dyDescent="0.2">
      <c r="A46" s="26"/>
      <c r="B46" s="143" t="s">
        <v>56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75"/>
      <c r="N46" s="26"/>
      <c r="O46" s="36"/>
      <c r="P46" s="53"/>
      <c r="Q46" s="53"/>
      <c r="R46" s="53"/>
      <c r="S46" s="53"/>
      <c r="T46" s="36"/>
      <c r="U46" s="53"/>
      <c r="V46" s="53"/>
      <c r="W46" s="53"/>
      <c r="X46" s="53"/>
      <c r="Y46" s="53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</row>
    <row r="47" spans="1:63" ht="15" customHeight="1" x14ac:dyDescent="0.2">
      <c r="A47" s="26"/>
      <c r="B47" s="144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8"/>
      <c r="N47" s="26"/>
      <c r="O47" s="36"/>
      <c r="P47" s="54"/>
      <c r="Q47" s="53"/>
      <c r="R47" s="53"/>
      <c r="S47" s="53"/>
      <c r="T47" s="36"/>
      <c r="U47" s="53"/>
      <c r="V47" s="53"/>
      <c r="W47" s="53"/>
      <c r="X47" s="53"/>
      <c r="Y47" s="53"/>
      <c r="Z47" s="26"/>
      <c r="AA47" s="26"/>
      <c r="AB47" s="26"/>
      <c r="AC47" s="26"/>
      <c r="AD47" s="26">
        <v>2.75</v>
      </c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55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</row>
    <row r="48" spans="1:63" ht="15" customHeight="1" x14ac:dyDescent="0.2">
      <c r="A48" s="26"/>
      <c r="B48" s="137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117"/>
      <c r="N48" s="26"/>
      <c r="O48" s="36"/>
      <c r="P48" s="36"/>
      <c r="Q48" s="53"/>
      <c r="R48" s="53"/>
      <c r="S48" s="53"/>
      <c r="T48" s="36"/>
      <c r="U48" s="53"/>
      <c r="V48" s="53"/>
      <c r="W48" s="53"/>
      <c r="X48" s="53"/>
      <c r="Y48" s="53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55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</row>
    <row r="49" spans="1:63" ht="15" customHeight="1" x14ac:dyDescent="0.2">
      <c r="A49" s="26"/>
      <c r="B49" s="137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117"/>
      <c r="N49" s="26"/>
      <c r="O49" s="36"/>
      <c r="P49" s="36"/>
      <c r="Q49" s="53"/>
      <c r="R49" s="53"/>
      <c r="S49" s="53"/>
      <c r="T49" s="36"/>
      <c r="U49" s="53"/>
      <c r="V49" s="53"/>
      <c r="W49" s="53"/>
      <c r="X49" s="53"/>
      <c r="Y49" s="53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55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</row>
    <row r="50" spans="1:63" ht="15" customHeight="1" x14ac:dyDescent="0.2">
      <c r="A50" s="26"/>
      <c r="B50" s="137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117"/>
      <c r="N50" s="26"/>
      <c r="O50" s="36"/>
      <c r="P50" s="36"/>
      <c r="Q50" s="53"/>
      <c r="R50" s="53"/>
      <c r="S50" s="53"/>
      <c r="T50" s="36"/>
      <c r="U50" s="53"/>
      <c r="V50" s="53"/>
      <c r="W50" s="53"/>
      <c r="X50" s="53"/>
      <c r="Y50" s="53"/>
      <c r="Z50" s="26"/>
      <c r="AA50" s="26"/>
      <c r="AB50" s="56"/>
      <c r="AC50" s="56"/>
      <c r="AD50" s="56"/>
      <c r="AE50" s="56"/>
      <c r="AF50" s="56"/>
      <c r="AG50" s="56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</row>
    <row r="51" spans="1:63" ht="15" customHeight="1" x14ac:dyDescent="0.2">
      <c r="A51" s="26"/>
      <c r="B51" s="138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1"/>
      <c r="N51" s="44"/>
      <c r="O51" s="36"/>
      <c r="P51" s="36"/>
      <c r="Q51" s="53"/>
      <c r="R51" s="53"/>
      <c r="S51" s="53"/>
      <c r="T51" s="36"/>
      <c r="U51" s="53"/>
      <c r="V51" s="53"/>
      <c r="W51" s="53"/>
      <c r="X51" s="53"/>
      <c r="Y51" s="53"/>
      <c r="Z51" s="44"/>
      <c r="AA51" s="44"/>
      <c r="AB51" s="56"/>
      <c r="AC51" s="56"/>
      <c r="AD51" s="56"/>
      <c r="AE51" s="56"/>
      <c r="AF51" s="56"/>
      <c r="AG51" s="56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</row>
    <row r="52" spans="1:63" ht="15" customHeight="1" x14ac:dyDescent="0.2">
      <c r="A52" s="26"/>
      <c r="B52" s="1"/>
      <c r="C52" s="1"/>
      <c r="D52" s="1"/>
      <c r="E52" s="1"/>
      <c r="F52" s="1"/>
      <c r="G52" s="1"/>
      <c r="H52" s="1"/>
      <c r="I52" s="44"/>
      <c r="J52" s="44"/>
      <c r="K52" s="44"/>
      <c r="L52" s="44"/>
      <c r="M52" s="44"/>
      <c r="N52" s="44"/>
      <c r="O52" s="36"/>
      <c r="P52" s="36"/>
      <c r="Q52" s="53"/>
      <c r="R52" s="53"/>
      <c r="S52" s="53"/>
      <c r="T52" s="36"/>
      <c r="U52" s="53"/>
      <c r="V52" s="53"/>
      <c r="W52" s="53"/>
      <c r="X52" s="53"/>
      <c r="Y52" s="53"/>
      <c r="Z52" s="44"/>
      <c r="AA52" s="44"/>
      <c r="AB52" s="56"/>
      <c r="AC52" s="56"/>
      <c r="AD52" s="56"/>
      <c r="AE52" s="56"/>
      <c r="AF52" s="56"/>
      <c r="AG52" s="56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 spans="1:63" ht="1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56"/>
      <c r="L53" s="56"/>
      <c r="M53" s="56"/>
      <c r="N53" s="55"/>
      <c r="O53" s="55"/>
      <c r="P53" s="55"/>
      <c r="Q53" s="55"/>
      <c r="R53" s="55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</row>
    <row r="54" spans="1:63" ht="1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56"/>
      <c r="L54" s="56"/>
      <c r="M54" s="56"/>
      <c r="N54" s="55"/>
      <c r="O54" s="55"/>
      <c r="P54" s="55"/>
      <c r="Q54" s="55"/>
      <c r="R54" s="55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</row>
    <row r="55" spans="1:63" ht="1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56"/>
      <c r="L55" s="56"/>
      <c r="M55" s="56"/>
      <c r="N55" s="55"/>
      <c r="O55" s="55"/>
      <c r="P55" s="55"/>
      <c r="Q55" s="55"/>
      <c r="R55" s="55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</row>
    <row r="56" spans="1:63" ht="12.75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44"/>
      <c r="L56" s="44"/>
      <c r="M56" s="44"/>
      <c r="N56" s="44"/>
      <c r="O56" s="44"/>
      <c r="P56" s="44"/>
      <c r="Q56" s="44"/>
      <c r="R56" s="44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</row>
    <row r="57" spans="1:63" ht="12.7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44"/>
      <c r="L57" s="44"/>
      <c r="M57" s="44"/>
      <c r="N57" s="44"/>
      <c r="O57" s="44"/>
      <c r="P57" s="44"/>
      <c r="Q57" s="44"/>
      <c r="R57" s="44"/>
      <c r="S57" s="26"/>
      <c r="T57" s="26"/>
      <c r="U57" s="26"/>
      <c r="V57" s="26"/>
      <c r="W57" s="26"/>
      <c r="X57" s="44"/>
      <c r="Y57" s="44"/>
      <c r="Z57" s="44"/>
      <c r="AA57" s="44"/>
      <c r="AB57" s="44"/>
      <c r="AC57" s="44"/>
      <c r="AD57" s="44"/>
      <c r="AE57" s="44"/>
      <c r="AF57" s="56"/>
      <c r="AG57" s="56"/>
      <c r="AH57" s="56"/>
      <c r="AI57" s="56"/>
      <c r="AJ57" s="56"/>
      <c r="AK57" s="56"/>
      <c r="AL57" s="55"/>
      <c r="AM57" s="55"/>
      <c r="AN57" s="55"/>
      <c r="AO57" s="55"/>
      <c r="AP57" s="55"/>
      <c r="AQ57" s="55"/>
      <c r="AR57" s="55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</row>
    <row r="58" spans="1:63" ht="12.7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44"/>
      <c r="L58" s="44"/>
      <c r="M58" s="44"/>
      <c r="N58" s="44"/>
      <c r="O58" s="44"/>
      <c r="P58" s="44"/>
      <c r="Q58" s="44"/>
      <c r="R58" s="44"/>
      <c r="S58" s="26"/>
      <c r="T58" s="26"/>
      <c r="U58" s="26"/>
      <c r="V58" s="26"/>
      <c r="W58" s="26"/>
      <c r="X58" s="44"/>
      <c r="Y58" s="44"/>
      <c r="Z58" s="44"/>
      <c r="AA58" s="44"/>
      <c r="AB58" s="44"/>
      <c r="AC58" s="44"/>
      <c r="AD58" s="44"/>
      <c r="AE58" s="44"/>
      <c r="AF58" s="56"/>
      <c r="AG58" s="56"/>
      <c r="AH58" s="56"/>
      <c r="AI58" s="56"/>
      <c r="AJ58" s="56"/>
      <c r="AK58" s="56"/>
      <c r="AL58" s="55"/>
      <c r="AM58" s="55"/>
      <c r="AN58" s="55"/>
      <c r="AO58" s="55"/>
      <c r="AP58" s="55"/>
      <c r="AQ58" s="55"/>
      <c r="AR58" s="55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</row>
    <row r="59" spans="1:63" ht="12.7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56"/>
      <c r="AG59" s="56"/>
      <c r="AH59" s="56"/>
      <c r="AI59" s="56"/>
      <c r="AJ59" s="56"/>
      <c r="AK59" s="56"/>
      <c r="AL59" s="55"/>
      <c r="AM59" s="55"/>
      <c r="AN59" s="55"/>
      <c r="AO59" s="55"/>
      <c r="AP59" s="55"/>
      <c r="AQ59" s="55"/>
      <c r="AR59" s="55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 spans="1:63" ht="12.7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56"/>
      <c r="AG60" s="56"/>
      <c r="AH60" s="56"/>
      <c r="AI60" s="56"/>
      <c r="AJ60" s="56"/>
      <c r="AK60" s="56"/>
      <c r="AL60" s="55"/>
      <c r="AM60" s="55"/>
      <c r="AN60" s="55"/>
      <c r="AO60" s="55"/>
      <c r="AP60" s="55"/>
      <c r="AQ60" s="55"/>
      <c r="AR60" s="55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 spans="1:63" ht="12.75" customHeight="1" x14ac:dyDescent="0.35">
      <c r="A61" s="26"/>
      <c r="B61" s="2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5"/>
      <c r="AI61" s="57"/>
      <c r="AJ61" s="57"/>
      <c r="AK61" s="57"/>
      <c r="AL61" s="57"/>
      <c r="AM61" s="57"/>
      <c r="AN61" s="57"/>
      <c r="AO61" s="57"/>
      <c r="AP61" s="57"/>
      <c r="AQ61" s="55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</row>
    <row r="62" spans="1:63" ht="12.75" customHeight="1" x14ac:dyDescent="0.2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5"/>
      <c r="AI62" s="5"/>
      <c r="AJ62" s="5"/>
      <c r="AK62" s="5"/>
      <c r="AL62" s="5"/>
      <c r="AM62" s="5"/>
      <c r="AN62" s="5"/>
      <c r="AO62" s="5"/>
      <c r="AP62" s="5"/>
      <c r="AQ62" s="55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 spans="1:63" ht="12.75" customHeight="1" x14ac:dyDescent="0.2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</row>
    <row r="64" spans="1:63" ht="12.75" customHeight="1" x14ac:dyDescent="0.2">
      <c r="A64" s="26"/>
      <c r="B64" s="26"/>
      <c r="C64" s="26"/>
      <c r="D64" s="58"/>
      <c r="E64" s="26"/>
      <c r="F64" s="26"/>
      <c r="G64" s="26"/>
      <c r="H64" s="59"/>
      <c r="I64" s="59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</row>
    <row r="65" spans="1:63" ht="12.7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</row>
    <row r="66" spans="1:63" ht="12.7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</row>
    <row r="67" spans="1:63" ht="12.7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</row>
    <row r="68" spans="1:63" ht="15" customHeight="1" x14ac:dyDescent="0.2">
      <c r="A68" s="26"/>
      <c r="B68" s="26"/>
      <c r="C68" s="26"/>
      <c r="D68" s="58"/>
      <c r="E68" s="26"/>
      <c r="F68" s="26"/>
      <c r="G68" s="26"/>
      <c r="H68" s="59"/>
      <c r="I68" s="59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</row>
    <row r="69" spans="1:63" ht="15" customHeight="1" x14ac:dyDescent="0.2">
      <c r="A69" s="26"/>
      <c r="B69" s="26"/>
      <c r="C69" s="26"/>
      <c r="D69" s="58"/>
      <c r="E69" s="26"/>
      <c r="F69" s="26"/>
      <c r="G69" s="26"/>
      <c r="H69" s="59"/>
      <c r="I69" s="59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</row>
    <row r="70" spans="1:63" ht="15" customHeight="1" x14ac:dyDescent="0.2">
      <c r="A70" s="26"/>
      <c r="B70" s="26"/>
      <c r="C70" s="26"/>
      <c r="D70" s="58"/>
      <c r="E70" s="26"/>
      <c r="F70" s="26"/>
      <c r="G70" s="26"/>
      <c r="H70" s="59"/>
      <c r="I70" s="59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</row>
    <row r="71" spans="1:63" ht="15" customHeight="1" x14ac:dyDescent="0.2">
      <c r="A71" s="1"/>
      <c r="B71" s="1"/>
      <c r="C71" s="34"/>
      <c r="D71" s="43"/>
      <c r="E71" s="34"/>
      <c r="F71" s="34"/>
      <c r="G71" s="34"/>
      <c r="H71" s="44"/>
      <c r="I71" s="4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15" customHeight="1" x14ac:dyDescent="0.2">
      <c r="A72" s="1"/>
      <c r="B72" s="1"/>
      <c r="C72" s="34"/>
      <c r="D72" s="43"/>
      <c r="E72" s="34"/>
      <c r="F72" s="34"/>
      <c r="G72" s="34"/>
      <c r="H72" s="44"/>
      <c r="I72" s="4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1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 t="s">
        <v>57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1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1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1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15" customHeight="1" x14ac:dyDescent="0.2">
      <c r="A77" s="1"/>
      <c r="B77" s="1"/>
      <c r="C77" s="34"/>
      <c r="D77" s="43"/>
      <c r="E77" s="34"/>
      <c r="F77" s="34"/>
      <c r="G77" s="34"/>
      <c r="H77" s="44"/>
      <c r="I77" s="4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15" customHeight="1" x14ac:dyDescent="0.2">
      <c r="A78" s="1"/>
      <c r="B78" s="1"/>
      <c r="C78" s="34"/>
      <c r="D78" s="43"/>
      <c r="E78" s="34"/>
      <c r="F78" s="34"/>
      <c r="G78" s="34"/>
      <c r="H78" s="44"/>
      <c r="I78" s="4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15" customHeight="1" x14ac:dyDescent="0.2">
      <c r="A79" s="1"/>
      <c r="B79" s="1"/>
      <c r="C79" s="34"/>
      <c r="D79" s="43"/>
      <c r="E79" s="34"/>
      <c r="F79" s="34"/>
      <c r="G79" s="34"/>
      <c r="H79" s="44"/>
      <c r="I79" s="4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5" customHeight="1" x14ac:dyDescent="0.2">
      <c r="A80" s="1"/>
      <c r="B80" s="1"/>
      <c r="C80" s="34"/>
      <c r="D80" s="43"/>
      <c r="E80" s="34"/>
      <c r="F80" s="34"/>
      <c r="G80" s="34"/>
      <c r="H80" s="44"/>
      <c r="I80" s="4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5" customHeight="1" x14ac:dyDescent="0.2">
      <c r="A81" s="1"/>
      <c r="B81" s="1"/>
      <c r="C81" s="34"/>
      <c r="D81" s="43"/>
      <c r="E81" s="34"/>
      <c r="F81" s="34"/>
      <c r="G81" s="34"/>
      <c r="H81" s="44"/>
      <c r="I81" s="4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5" customHeight="1" x14ac:dyDescent="0.2">
      <c r="A82" s="1"/>
      <c r="B82" s="1"/>
      <c r="C82" s="34"/>
      <c r="D82" s="43"/>
      <c r="E82" s="34"/>
      <c r="F82" s="34"/>
      <c r="G82" s="34"/>
      <c r="H82" s="44"/>
      <c r="I82" s="4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ht="1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ht="1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ht="1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ht="1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ht="1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1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1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1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1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1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1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1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1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1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1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1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1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1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1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1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1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1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1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 ht="1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 ht="1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 ht="1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 ht="1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 ht="1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 ht="1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 ht="1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 ht="1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 ht="1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 ht="1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 ht="1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 ht="1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 ht="1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 ht="1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 ht="1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 ht="1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 ht="1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 ht="1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 ht="1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 ht="1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 ht="1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 ht="1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 ht="1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 ht="1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 ht="1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 ht="1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 ht="1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 ht="1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 ht="1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 ht="1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 ht="1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 ht="1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 ht="1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 ht="1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 ht="1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 ht="1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 ht="1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 ht="1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 ht="1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 ht="1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 ht="1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 ht="1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 ht="1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 ht="1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 ht="1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 ht="1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t="1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 ht="1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 ht="1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 ht="1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 ht="1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 ht="1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 ht="1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 ht="1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 ht="1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 ht="1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 ht="1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 ht="1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 ht="1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 ht="1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 ht="1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 ht="1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 ht="1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 ht="1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 ht="1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 ht="17.25" customHeight="1" x14ac:dyDescent="0.2">
      <c r="A189" s="1"/>
      <c r="B189" s="1"/>
      <c r="C189" s="34"/>
      <c r="D189" s="43"/>
      <c r="E189" s="34"/>
      <c r="F189" s="34"/>
      <c r="G189" s="34"/>
      <c r="H189" s="44"/>
      <c r="I189" s="4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 ht="17.25" customHeight="1" x14ac:dyDescent="0.2">
      <c r="A190" s="1"/>
      <c r="B190" s="1"/>
      <c r="C190" s="34"/>
      <c r="D190" s="43"/>
      <c r="E190" s="34"/>
      <c r="F190" s="34"/>
      <c r="G190" s="34"/>
      <c r="H190" s="44"/>
      <c r="I190" s="4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 ht="17.25" customHeight="1" x14ac:dyDescent="0.2">
      <c r="A191" s="1"/>
      <c r="B191" s="1"/>
      <c r="C191" s="34"/>
      <c r="D191" s="43"/>
      <c r="E191" s="34"/>
      <c r="F191" s="34"/>
      <c r="G191" s="34"/>
      <c r="H191" s="44"/>
      <c r="I191" s="4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 ht="17.25" customHeight="1" x14ac:dyDescent="0.2">
      <c r="A192" s="1"/>
      <c r="B192" s="1"/>
      <c r="C192" s="34"/>
      <c r="D192" s="43"/>
      <c r="E192" s="34"/>
      <c r="F192" s="34"/>
      <c r="G192" s="34"/>
      <c r="H192" s="44"/>
      <c r="I192" s="4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 ht="17.25" customHeight="1" x14ac:dyDescent="0.2">
      <c r="A193" s="1"/>
      <c r="B193" s="1"/>
      <c r="C193" s="34"/>
      <c r="D193" s="43"/>
      <c r="E193" s="34"/>
      <c r="F193" s="34"/>
      <c r="G193" s="34"/>
      <c r="H193" s="44"/>
      <c r="I193" s="4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 ht="17.25" customHeight="1" x14ac:dyDescent="0.2">
      <c r="A194" s="1"/>
      <c r="B194" s="1"/>
      <c r="C194" s="34"/>
      <c r="D194" s="43"/>
      <c r="E194" s="34"/>
      <c r="F194" s="34"/>
      <c r="G194" s="34"/>
      <c r="H194" s="44"/>
      <c r="I194" s="4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 ht="17.25" customHeight="1" x14ac:dyDescent="0.2">
      <c r="A195" s="1"/>
      <c r="B195" s="1"/>
      <c r="C195" s="34"/>
      <c r="D195" s="43"/>
      <c r="E195" s="34"/>
      <c r="F195" s="34"/>
      <c r="G195" s="34"/>
      <c r="H195" s="44"/>
      <c r="I195" s="4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 ht="17.25" customHeight="1" x14ac:dyDescent="0.2">
      <c r="A196" s="1"/>
      <c r="B196" s="1"/>
      <c r="C196" s="34"/>
      <c r="D196" s="43"/>
      <c r="E196" s="34"/>
      <c r="F196" s="34"/>
      <c r="G196" s="34"/>
      <c r="H196" s="44"/>
      <c r="I196" s="4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 ht="17.25" customHeight="1" x14ac:dyDescent="0.2">
      <c r="A197" s="1"/>
      <c r="B197" s="1"/>
      <c r="C197" s="34"/>
      <c r="D197" s="43"/>
      <c r="E197" s="34"/>
      <c r="F197" s="34"/>
      <c r="G197" s="34"/>
      <c r="H197" s="44"/>
      <c r="I197" s="4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 ht="17.25" customHeight="1" x14ac:dyDescent="0.2">
      <c r="A198" s="1"/>
      <c r="B198" s="1"/>
      <c r="C198" s="34"/>
      <c r="D198" s="43"/>
      <c r="E198" s="34"/>
      <c r="F198" s="34"/>
      <c r="G198" s="34"/>
      <c r="H198" s="44"/>
      <c r="I198" s="4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spans="1:63" ht="17.25" customHeight="1" x14ac:dyDescent="0.2">
      <c r="A199" s="1"/>
      <c r="B199" s="1"/>
      <c r="C199" s="34"/>
      <c r="D199" s="43"/>
      <c r="E199" s="34"/>
      <c r="F199" s="34"/>
      <c r="G199" s="34"/>
      <c r="H199" s="44"/>
      <c r="I199" s="4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spans="1:63" ht="17.25" customHeight="1" x14ac:dyDescent="0.2">
      <c r="A200" s="1"/>
      <c r="B200" s="1"/>
      <c r="C200" s="34"/>
      <c r="D200" s="43"/>
      <c r="E200" s="34"/>
      <c r="F200" s="34"/>
      <c r="G200" s="34"/>
      <c r="H200" s="44"/>
      <c r="I200" s="4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spans="1:63" ht="17.25" customHeight="1" x14ac:dyDescent="0.2">
      <c r="A201" s="1"/>
      <c r="B201" s="1"/>
      <c r="C201" s="34"/>
      <c r="D201" s="43"/>
      <c r="E201" s="34"/>
      <c r="F201" s="34"/>
      <c r="G201" s="34"/>
      <c r="H201" s="44"/>
      <c r="I201" s="4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spans="1:63" ht="17.25" customHeight="1" x14ac:dyDescent="0.2">
      <c r="A202" s="1"/>
      <c r="B202" s="1"/>
      <c r="C202" s="34"/>
      <c r="D202" s="43"/>
      <c r="E202" s="34"/>
      <c r="F202" s="34"/>
      <c r="G202" s="34"/>
      <c r="H202" s="44"/>
      <c r="I202" s="4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spans="1:63" ht="17.25" customHeight="1" x14ac:dyDescent="0.2">
      <c r="A203" s="1"/>
      <c r="B203" s="1"/>
      <c r="C203" s="34"/>
      <c r="D203" s="43"/>
      <c r="E203" s="34"/>
      <c r="F203" s="34"/>
      <c r="G203" s="34"/>
      <c r="H203" s="44"/>
      <c r="I203" s="4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spans="1:63" ht="17.25" customHeight="1" x14ac:dyDescent="0.2">
      <c r="A204" s="1"/>
      <c r="B204" s="1"/>
      <c r="C204" s="34"/>
      <c r="D204" s="43"/>
      <c r="E204" s="34"/>
      <c r="F204" s="34"/>
      <c r="G204" s="34"/>
      <c r="H204" s="44"/>
      <c r="I204" s="4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spans="1:63" ht="17.25" customHeight="1" x14ac:dyDescent="0.2">
      <c r="A205" s="1"/>
      <c r="B205" s="1"/>
      <c r="C205" s="34"/>
      <c r="D205" s="43"/>
      <c r="E205" s="34"/>
      <c r="F205" s="34"/>
      <c r="G205" s="34"/>
      <c r="H205" s="44"/>
      <c r="I205" s="4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spans="1:63" ht="17.25" customHeight="1" x14ac:dyDescent="0.2">
      <c r="A206" s="1"/>
      <c r="B206" s="1"/>
      <c r="C206" s="34"/>
      <c r="D206" s="43"/>
      <c r="E206" s="34"/>
      <c r="F206" s="34"/>
      <c r="G206" s="34"/>
      <c r="H206" s="44"/>
      <c r="I206" s="4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spans="1:63" ht="17.25" customHeight="1" x14ac:dyDescent="0.2">
      <c r="A207" s="1"/>
      <c r="B207" s="1"/>
      <c r="C207" s="34"/>
      <c r="D207" s="43"/>
      <c r="E207" s="34"/>
      <c r="F207" s="34"/>
      <c r="G207" s="34"/>
      <c r="H207" s="44"/>
      <c r="I207" s="4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spans="1:63" ht="17.25" customHeight="1" x14ac:dyDescent="0.2">
      <c r="A208" s="1"/>
      <c r="B208" s="1"/>
      <c r="C208" s="34"/>
      <c r="D208" s="43"/>
      <c r="E208" s="34"/>
      <c r="F208" s="34"/>
      <c r="G208" s="34"/>
      <c r="H208" s="44"/>
      <c r="I208" s="4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spans="1:63" ht="17.25" customHeight="1" x14ac:dyDescent="0.2">
      <c r="A209" s="1"/>
      <c r="B209" s="1"/>
      <c r="C209" s="34"/>
      <c r="D209" s="43"/>
      <c r="E209" s="34"/>
      <c r="F209" s="34"/>
      <c r="G209" s="34"/>
      <c r="H209" s="44"/>
      <c r="I209" s="4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spans="1:63" ht="17.25" customHeight="1" x14ac:dyDescent="0.2">
      <c r="A210" s="1"/>
      <c r="B210" s="1"/>
      <c r="C210" s="34"/>
      <c r="D210" s="43"/>
      <c r="E210" s="34"/>
      <c r="F210" s="34"/>
      <c r="G210" s="34"/>
      <c r="H210" s="44"/>
      <c r="I210" s="4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spans="1:63" ht="17.25" customHeight="1" x14ac:dyDescent="0.2">
      <c r="A211" s="1"/>
      <c r="B211" s="1"/>
      <c r="C211" s="34"/>
      <c r="D211" s="43"/>
      <c r="E211" s="34"/>
      <c r="F211" s="34"/>
      <c r="G211" s="34"/>
      <c r="H211" s="44"/>
      <c r="I211" s="4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spans="1:63" ht="17.25" customHeight="1" x14ac:dyDescent="0.2">
      <c r="A212" s="1"/>
      <c r="B212" s="1"/>
      <c r="C212" s="34"/>
      <c r="D212" s="43"/>
      <c r="E212" s="34"/>
      <c r="F212" s="34"/>
      <c r="G212" s="34"/>
      <c r="H212" s="44"/>
      <c r="I212" s="4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spans="1:63" ht="17.25" customHeight="1" x14ac:dyDescent="0.2">
      <c r="A213" s="1"/>
      <c r="B213" s="1"/>
      <c r="C213" s="34"/>
      <c r="D213" s="43"/>
      <c r="E213" s="34"/>
      <c r="F213" s="34"/>
      <c r="G213" s="34"/>
      <c r="H213" s="44"/>
      <c r="I213" s="4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spans="1:63" ht="17.25" customHeight="1" x14ac:dyDescent="0.2">
      <c r="A214" s="1"/>
      <c r="B214" s="1"/>
      <c r="C214" s="34"/>
      <c r="D214" s="43"/>
      <c r="E214" s="34"/>
      <c r="F214" s="34"/>
      <c r="G214" s="34"/>
      <c r="H214" s="44"/>
      <c r="I214" s="4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spans="1:63" ht="17.25" customHeight="1" x14ac:dyDescent="0.2">
      <c r="A215" s="1"/>
      <c r="B215" s="1"/>
      <c r="C215" s="34"/>
      <c r="D215" s="43"/>
      <c r="E215" s="34"/>
      <c r="F215" s="34"/>
      <c r="G215" s="34"/>
      <c r="H215" s="44"/>
      <c r="I215" s="4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spans="1:63" ht="17.25" customHeight="1" x14ac:dyDescent="0.2">
      <c r="A216" s="1"/>
      <c r="B216" s="1"/>
      <c r="C216" s="34"/>
      <c r="D216" s="43"/>
      <c r="E216" s="34"/>
      <c r="F216" s="34"/>
      <c r="G216" s="34"/>
      <c r="H216" s="44"/>
      <c r="I216" s="4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spans="1:63" ht="17.25" customHeight="1" x14ac:dyDescent="0.2">
      <c r="A217" s="1"/>
      <c r="B217" s="1"/>
      <c r="C217" s="34"/>
      <c r="D217" s="43"/>
      <c r="E217" s="34"/>
      <c r="F217" s="34"/>
      <c r="G217" s="34"/>
      <c r="H217" s="44"/>
      <c r="I217" s="4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spans="1:63" ht="17.25" customHeight="1" x14ac:dyDescent="0.2">
      <c r="A218" s="1"/>
      <c r="B218" s="1"/>
      <c r="C218" s="34"/>
      <c r="D218" s="43"/>
      <c r="E218" s="34"/>
      <c r="F218" s="34"/>
      <c r="G218" s="34"/>
      <c r="H218" s="44"/>
      <c r="I218" s="4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spans="1:63" ht="17.25" customHeight="1" x14ac:dyDescent="0.2">
      <c r="A219" s="1"/>
      <c r="B219" s="1"/>
      <c r="C219" s="34"/>
      <c r="D219" s="43"/>
      <c r="E219" s="34"/>
      <c r="F219" s="34"/>
      <c r="G219" s="34"/>
      <c r="H219" s="44"/>
      <c r="I219" s="4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spans="1:63" ht="17.25" customHeight="1" x14ac:dyDescent="0.2">
      <c r="A220" s="1"/>
      <c r="B220" s="1"/>
      <c r="C220" s="34"/>
      <c r="D220" s="43"/>
      <c r="E220" s="34"/>
      <c r="F220" s="34"/>
      <c r="G220" s="34"/>
      <c r="H220" s="44"/>
      <c r="I220" s="4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spans="1:63" ht="17.25" customHeight="1" x14ac:dyDescent="0.2">
      <c r="A221" s="1"/>
      <c r="B221" s="1"/>
      <c r="C221" s="34"/>
      <c r="D221" s="43"/>
      <c r="E221" s="34"/>
      <c r="F221" s="34"/>
      <c r="G221" s="34"/>
      <c r="H221" s="44"/>
      <c r="I221" s="4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spans="1:63" ht="17.25" customHeight="1" x14ac:dyDescent="0.2">
      <c r="A222" s="1"/>
      <c r="B222" s="1"/>
      <c r="C222" s="34"/>
      <c r="D222" s="43"/>
      <c r="E222" s="34"/>
      <c r="F222" s="34"/>
      <c r="G222" s="34"/>
      <c r="H222" s="44"/>
      <c r="I222" s="4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spans="1:63" ht="17.25" customHeight="1" x14ac:dyDescent="0.2">
      <c r="A223" s="1"/>
      <c r="B223" s="1"/>
      <c r="C223" s="34"/>
      <c r="D223" s="43"/>
      <c r="E223" s="34"/>
      <c r="F223" s="34"/>
      <c r="G223" s="34"/>
      <c r="H223" s="44"/>
      <c r="I223" s="4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spans="1:63" ht="17.25" customHeight="1" x14ac:dyDescent="0.2">
      <c r="A224" s="1"/>
      <c r="B224" s="1"/>
      <c r="C224" s="34"/>
      <c r="D224" s="43"/>
      <c r="E224" s="34"/>
      <c r="F224" s="34"/>
      <c r="G224" s="34"/>
      <c r="H224" s="44"/>
      <c r="I224" s="4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spans="1:63" ht="17.25" customHeight="1" x14ac:dyDescent="0.2">
      <c r="A225" s="1"/>
      <c r="B225" s="1"/>
      <c r="C225" s="34"/>
      <c r="D225" s="43"/>
      <c r="E225" s="34"/>
      <c r="F225" s="34"/>
      <c r="G225" s="34"/>
      <c r="H225" s="44"/>
      <c r="I225" s="4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spans="1:63" ht="17.25" customHeight="1" x14ac:dyDescent="0.2">
      <c r="A226" s="1"/>
      <c r="B226" s="1"/>
      <c r="C226" s="34"/>
      <c r="D226" s="43"/>
      <c r="E226" s="34"/>
      <c r="F226" s="34"/>
      <c r="G226" s="34"/>
      <c r="H226" s="44"/>
      <c r="I226" s="4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spans="1:63" ht="17.25" customHeight="1" x14ac:dyDescent="0.2">
      <c r="A227" s="1"/>
      <c r="B227" s="1"/>
      <c r="C227" s="34"/>
      <c r="D227" s="43"/>
      <c r="E227" s="34"/>
      <c r="F227" s="34"/>
      <c r="G227" s="34"/>
      <c r="H227" s="44"/>
      <c r="I227" s="4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spans="1:63" ht="17.25" customHeight="1" x14ac:dyDescent="0.2">
      <c r="A228" s="1"/>
      <c r="B228" s="1"/>
      <c r="C228" s="34"/>
      <c r="D228" s="43"/>
      <c r="E228" s="34"/>
      <c r="F228" s="34"/>
      <c r="G228" s="34"/>
      <c r="H228" s="44"/>
      <c r="I228" s="4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spans="1:63" ht="17.25" customHeight="1" x14ac:dyDescent="0.2">
      <c r="A229" s="1"/>
      <c r="B229" s="1"/>
      <c r="C229" s="34"/>
      <c r="D229" s="43"/>
      <c r="E229" s="34"/>
      <c r="F229" s="34"/>
      <c r="G229" s="34"/>
      <c r="H229" s="44"/>
      <c r="I229" s="4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spans="1:63" ht="17.25" customHeight="1" x14ac:dyDescent="0.2">
      <c r="A230" s="1"/>
      <c r="B230" s="1"/>
      <c r="C230" s="34"/>
      <c r="D230" s="43"/>
      <c r="E230" s="34"/>
      <c r="F230" s="34"/>
      <c r="G230" s="34"/>
      <c r="H230" s="44"/>
      <c r="I230" s="4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spans="1:63" ht="17.25" customHeight="1" x14ac:dyDescent="0.2">
      <c r="A231" s="1"/>
      <c r="B231" s="1"/>
      <c r="C231" s="34"/>
      <c r="D231" s="43"/>
      <c r="E231" s="34"/>
      <c r="F231" s="34"/>
      <c r="G231" s="34"/>
      <c r="H231" s="44"/>
      <c r="I231" s="4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spans="1:63" ht="17.25" customHeight="1" x14ac:dyDescent="0.2">
      <c r="A232" s="1"/>
      <c r="B232" s="1"/>
      <c r="C232" s="34"/>
      <c r="D232" s="43"/>
      <c r="E232" s="34"/>
      <c r="F232" s="34"/>
      <c r="G232" s="34"/>
      <c r="H232" s="44"/>
      <c r="I232" s="4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spans="1:63" ht="17.25" customHeight="1" x14ac:dyDescent="0.2">
      <c r="A233" s="1"/>
      <c r="B233" s="1"/>
      <c r="C233" s="34"/>
      <c r="D233" s="43"/>
      <c r="E233" s="34"/>
      <c r="F233" s="34"/>
      <c r="G233" s="34"/>
      <c r="H233" s="44"/>
      <c r="I233" s="4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spans="1:63" ht="17.25" customHeight="1" x14ac:dyDescent="0.2">
      <c r="A234" s="1"/>
      <c r="B234" s="1"/>
      <c r="C234" s="34"/>
      <c r="D234" s="43"/>
      <c r="E234" s="34"/>
      <c r="F234" s="34"/>
      <c r="G234" s="34"/>
      <c r="H234" s="44"/>
      <c r="I234" s="4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spans="1:63" ht="17.25" customHeight="1" x14ac:dyDescent="0.2">
      <c r="A235" s="1"/>
      <c r="B235" s="1"/>
      <c r="C235" s="34"/>
      <c r="D235" s="43"/>
      <c r="E235" s="34"/>
      <c r="F235" s="34"/>
      <c r="G235" s="34"/>
      <c r="H235" s="44"/>
      <c r="I235" s="4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spans="1:63" ht="17.25" customHeight="1" x14ac:dyDescent="0.2">
      <c r="A236" s="1"/>
      <c r="B236" s="1"/>
      <c r="C236" s="34"/>
      <c r="D236" s="43"/>
      <c r="E236" s="34"/>
      <c r="F236" s="34"/>
      <c r="G236" s="34"/>
      <c r="H236" s="44"/>
      <c r="I236" s="4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spans="1:63" ht="17.25" customHeight="1" x14ac:dyDescent="0.2">
      <c r="A237" s="1"/>
      <c r="B237" s="1"/>
      <c r="C237" s="34"/>
      <c r="D237" s="43"/>
      <c r="E237" s="34"/>
      <c r="F237" s="34"/>
      <c r="G237" s="34"/>
      <c r="H237" s="44"/>
      <c r="I237" s="4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spans="1:63" ht="17.25" customHeight="1" x14ac:dyDescent="0.2">
      <c r="A238" s="1"/>
      <c r="B238" s="1"/>
      <c r="C238" s="34"/>
      <c r="D238" s="43"/>
      <c r="E238" s="34"/>
      <c r="F238" s="34"/>
      <c r="G238" s="34"/>
      <c r="H238" s="44"/>
      <c r="I238" s="4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spans="1:63" ht="17.25" customHeight="1" x14ac:dyDescent="0.2">
      <c r="A239" s="1"/>
      <c r="B239" s="1"/>
      <c r="C239" s="34"/>
      <c r="D239" s="43"/>
      <c r="E239" s="34"/>
      <c r="F239" s="34"/>
      <c r="G239" s="34"/>
      <c r="H239" s="44"/>
      <c r="I239" s="4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spans="1:63" ht="17.25" customHeight="1" x14ac:dyDescent="0.2">
      <c r="A240" s="1"/>
      <c r="B240" s="1"/>
      <c r="C240" s="34"/>
      <c r="D240" s="43"/>
      <c r="E240" s="34"/>
      <c r="F240" s="34"/>
      <c r="G240" s="34"/>
      <c r="H240" s="44"/>
      <c r="I240" s="4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spans="1:63" ht="17.25" customHeight="1" x14ac:dyDescent="0.2">
      <c r="A241" s="1"/>
      <c r="B241" s="1"/>
      <c r="C241" s="34"/>
      <c r="D241" s="43"/>
      <c r="E241" s="34"/>
      <c r="F241" s="34"/>
      <c r="G241" s="34"/>
      <c r="H241" s="44"/>
      <c r="I241" s="4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spans="1:63" ht="17.25" customHeight="1" x14ac:dyDescent="0.2">
      <c r="A242" s="1"/>
      <c r="B242" s="1"/>
      <c r="C242" s="34"/>
      <c r="D242" s="43"/>
      <c r="E242" s="34"/>
      <c r="F242" s="34"/>
      <c r="G242" s="34"/>
      <c r="H242" s="44"/>
      <c r="I242" s="4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spans="1:63" ht="17.25" customHeight="1" x14ac:dyDescent="0.2">
      <c r="A243" s="1"/>
      <c r="B243" s="1"/>
      <c r="C243" s="34"/>
      <c r="D243" s="43"/>
      <c r="E243" s="34"/>
      <c r="F243" s="34"/>
      <c r="G243" s="34"/>
      <c r="H243" s="44"/>
      <c r="I243" s="4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spans="1:63" ht="17.25" customHeight="1" x14ac:dyDescent="0.2">
      <c r="A244" s="1"/>
      <c r="B244" s="1"/>
      <c r="C244" s="34"/>
      <c r="D244" s="43"/>
      <c r="E244" s="34"/>
      <c r="F244" s="34"/>
      <c r="G244" s="34"/>
      <c r="H244" s="44"/>
      <c r="I244" s="4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spans="1:63" ht="17.25" customHeight="1" x14ac:dyDescent="0.2">
      <c r="A245" s="1"/>
      <c r="B245" s="1"/>
      <c r="C245" s="34"/>
      <c r="D245" s="43"/>
      <c r="E245" s="34"/>
      <c r="F245" s="34"/>
      <c r="G245" s="34"/>
      <c r="H245" s="44"/>
      <c r="I245" s="4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spans="1:63" ht="17.25" customHeight="1" x14ac:dyDescent="0.2">
      <c r="A246" s="1"/>
      <c r="B246" s="1"/>
      <c r="C246" s="34"/>
      <c r="D246" s="43"/>
      <c r="E246" s="34"/>
      <c r="F246" s="34"/>
      <c r="G246" s="34"/>
      <c r="H246" s="44"/>
      <c r="I246" s="4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spans="1:63" ht="17.25" customHeight="1" x14ac:dyDescent="0.2">
      <c r="A247" s="1"/>
      <c r="B247" s="1"/>
      <c r="C247" s="34"/>
      <c r="D247" s="43"/>
      <c r="E247" s="34"/>
      <c r="F247" s="34"/>
      <c r="G247" s="34"/>
      <c r="H247" s="44"/>
      <c r="I247" s="4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spans="1:63" ht="17.25" customHeight="1" x14ac:dyDescent="0.2">
      <c r="A248" s="1"/>
      <c r="B248" s="1"/>
      <c r="C248" s="34"/>
      <c r="D248" s="43"/>
      <c r="E248" s="34"/>
      <c r="F248" s="34"/>
      <c r="G248" s="34"/>
      <c r="H248" s="44"/>
      <c r="I248" s="4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ht="17.25" customHeight="1" x14ac:dyDescent="0.2">
      <c r="A249" s="1"/>
      <c r="B249" s="1"/>
      <c r="C249" s="34"/>
      <c r="D249" s="43"/>
      <c r="E249" s="34"/>
      <c r="F249" s="34"/>
      <c r="G249" s="34"/>
      <c r="H249" s="44"/>
      <c r="I249" s="4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ht="17.25" customHeight="1" x14ac:dyDescent="0.2">
      <c r="A250" s="1"/>
      <c r="B250" s="1"/>
      <c r="C250" s="34"/>
      <c r="D250" s="43"/>
      <c r="E250" s="34"/>
      <c r="F250" s="34"/>
      <c r="G250" s="34"/>
      <c r="H250" s="44"/>
      <c r="I250" s="4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ht="17.25" customHeight="1" x14ac:dyDescent="0.2">
      <c r="A251" s="1"/>
      <c r="B251" s="1"/>
      <c r="C251" s="34"/>
      <c r="D251" s="43"/>
      <c r="E251" s="34"/>
      <c r="F251" s="34"/>
      <c r="G251" s="34"/>
      <c r="H251" s="44"/>
      <c r="I251" s="4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spans="1:63" ht="17.25" customHeight="1" x14ac:dyDescent="0.2">
      <c r="A252" s="1"/>
      <c r="B252" s="1"/>
      <c r="C252" s="34"/>
      <c r="D252" s="43"/>
      <c r="E252" s="34"/>
      <c r="F252" s="34"/>
      <c r="G252" s="34"/>
      <c r="H252" s="44"/>
      <c r="I252" s="4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spans="1:63" ht="17.25" customHeight="1" x14ac:dyDescent="0.2">
      <c r="A253" s="1"/>
      <c r="B253" s="1"/>
      <c r="C253" s="34"/>
      <c r="D253" s="43"/>
      <c r="E253" s="34"/>
      <c r="F253" s="34"/>
      <c r="G253" s="34"/>
      <c r="H253" s="44"/>
      <c r="I253" s="4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spans="1:63" ht="17.25" customHeight="1" x14ac:dyDescent="0.2">
      <c r="A254" s="1"/>
      <c r="B254" s="1"/>
      <c r="C254" s="34"/>
      <c r="D254" s="43"/>
      <c r="E254" s="34"/>
      <c r="F254" s="34"/>
      <c r="G254" s="34"/>
      <c r="H254" s="44"/>
      <c r="I254" s="4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spans="1:63" ht="17.25" customHeight="1" x14ac:dyDescent="0.2">
      <c r="A255" s="1"/>
      <c r="B255" s="1"/>
      <c r="C255" s="34"/>
      <c r="D255" s="43"/>
      <c r="E255" s="34"/>
      <c r="F255" s="34"/>
      <c r="G255" s="34"/>
      <c r="H255" s="44"/>
      <c r="I255" s="4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spans="1:63" ht="17.25" customHeight="1" x14ac:dyDescent="0.2">
      <c r="A256" s="1"/>
      <c r="B256" s="1"/>
      <c r="C256" s="34"/>
      <c r="D256" s="43"/>
      <c r="E256" s="34"/>
      <c r="F256" s="34"/>
      <c r="G256" s="34"/>
      <c r="H256" s="44"/>
      <c r="I256" s="4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spans="1:63" ht="17.25" customHeight="1" x14ac:dyDescent="0.2">
      <c r="A257" s="1"/>
      <c r="B257" s="1"/>
      <c r="C257" s="34"/>
      <c r="D257" s="43"/>
      <c r="E257" s="34"/>
      <c r="F257" s="34"/>
      <c r="G257" s="34"/>
      <c r="H257" s="44"/>
      <c r="I257" s="4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spans="1:63" ht="17.25" customHeight="1" x14ac:dyDescent="0.2">
      <c r="A258" s="1"/>
      <c r="B258" s="1"/>
      <c r="C258" s="34"/>
      <c r="D258" s="43"/>
      <c r="E258" s="34"/>
      <c r="F258" s="34"/>
      <c r="G258" s="34"/>
      <c r="H258" s="44"/>
      <c r="I258" s="4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spans="1:63" ht="17.25" customHeight="1" x14ac:dyDescent="0.2">
      <c r="A259" s="1"/>
      <c r="B259" s="1"/>
      <c r="C259" s="34"/>
      <c r="D259" s="43"/>
      <c r="E259" s="34"/>
      <c r="F259" s="34"/>
      <c r="G259" s="34"/>
      <c r="H259" s="44"/>
      <c r="I259" s="4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spans="1:63" ht="17.25" customHeight="1" x14ac:dyDescent="0.2">
      <c r="A260" s="1"/>
      <c r="B260" s="1"/>
      <c r="C260" s="34"/>
      <c r="D260" s="43"/>
      <c r="E260" s="34"/>
      <c r="F260" s="34"/>
      <c r="G260" s="34"/>
      <c r="H260" s="44"/>
      <c r="I260" s="4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spans="1:63" ht="17.25" customHeight="1" x14ac:dyDescent="0.2">
      <c r="A261" s="1"/>
      <c r="B261" s="1"/>
      <c r="C261" s="34"/>
      <c r="D261" s="43"/>
      <c r="E261" s="34"/>
      <c r="F261" s="34"/>
      <c r="G261" s="34"/>
      <c r="H261" s="44"/>
      <c r="I261" s="4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spans="1:63" ht="17.25" customHeight="1" x14ac:dyDescent="0.2">
      <c r="A262" s="1"/>
      <c r="B262" s="1"/>
      <c r="C262" s="34"/>
      <c r="D262" s="43"/>
      <c r="E262" s="34"/>
      <c r="F262" s="34"/>
      <c r="G262" s="34"/>
      <c r="H262" s="44"/>
      <c r="I262" s="4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spans="1:63" ht="17.25" customHeight="1" x14ac:dyDescent="0.2">
      <c r="A263" s="1"/>
      <c r="B263" s="1"/>
      <c r="C263" s="34"/>
      <c r="D263" s="43"/>
      <c r="E263" s="34"/>
      <c r="F263" s="34"/>
      <c r="G263" s="34"/>
      <c r="H263" s="44"/>
      <c r="I263" s="4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spans="1:63" ht="17.25" customHeight="1" x14ac:dyDescent="0.2">
      <c r="A264" s="1"/>
      <c r="B264" s="1"/>
      <c r="C264" s="34"/>
      <c r="D264" s="43"/>
      <c r="E264" s="34"/>
      <c r="F264" s="34"/>
      <c r="G264" s="34"/>
      <c r="H264" s="44"/>
      <c r="I264" s="4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spans="1:63" ht="17.25" customHeight="1" x14ac:dyDescent="0.2">
      <c r="A265" s="1"/>
      <c r="B265" s="1"/>
      <c r="C265" s="34"/>
      <c r="D265" s="43"/>
      <c r="E265" s="34"/>
      <c r="F265" s="34"/>
      <c r="G265" s="34"/>
      <c r="H265" s="44"/>
      <c r="I265" s="4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spans="1:63" ht="17.25" customHeight="1" x14ac:dyDescent="0.2">
      <c r="A266" s="1"/>
      <c r="B266" s="1"/>
      <c r="C266" s="34"/>
      <c r="D266" s="43"/>
      <c r="E266" s="34"/>
      <c r="F266" s="34"/>
      <c r="G266" s="34"/>
      <c r="H266" s="44"/>
      <c r="I266" s="4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spans="1:63" ht="17.25" customHeight="1" x14ac:dyDescent="0.2">
      <c r="A267" s="1"/>
      <c r="B267" s="1"/>
      <c r="C267" s="34"/>
      <c r="D267" s="43"/>
      <c r="E267" s="34"/>
      <c r="F267" s="34"/>
      <c r="G267" s="34"/>
      <c r="H267" s="44"/>
      <c r="I267" s="4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spans="1:63" ht="17.25" customHeight="1" x14ac:dyDescent="0.2">
      <c r="A268" s="1"/>
      <c r="B268" s="1"/>
      <c r="C268" s="34"/>
      <c r="D268" s="43"/>
      <c r="E268" s="34"/>
      <c r="F268" s="34"/>
      <c r="G268" s="34"/>
      <c r="H268" s="44"/>
      <c r="I268" s="4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spans="1:63" ht="17.25" customHeight="1" x14ac:dyDescent="0.2">
      <c r="A269" s="1"/>
      <c r="B269" s="1"/>
      <c r="C269" s="34"/>
      <c r="D269" s="43"/>
      <c r="E269" s="34"/>
      <c r="F269" s="34"/>
      <c r="G269" s="34"/>
      <c r="H269" s="44"/>
      <c r="I269" s="4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spans="1:63" ht="17.25" customHeight="1" x14ac:dyDescent="0.2">
      <c r="A270" s="1"/>
      <c r="B270" s="1"/>
      <c r="C270" s="34"/>
      <c r="D270" s="43"/>
      <c r="E270" s="34"/>
      <c r="F270" s="34"/>
      <c r="G270" s="34"/>
      <c r="H270" s="44"/>
      <c r="I270" s="4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spans="1:63" ht="17.25" customHeight="1" x14ac:dyDescent="0.2">
      <c r="A271" s="1"/>
      <c r="B271" s="1"/>
      <c r="C271" s="34"/>
      <c r="D271" s="43"/>
      <c r="E271" s="34"/>
      <c r="F271" s="34"/>
      <c r="G271" s="34"/>
      <c r="H271" s="44"/>
      <c r="I271" s="4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spans="1:63" ht="17.25" customHeight="1" x14ac:dyDescent="0.2">
      <c r="A272" s="1"/>
      <c r="B272" s="1"/>
      <c r="C272" s="34"/>
      <c r="D272" s="43"/>
      <c r="E272" s="34"/>
      <c r="F272" s="34"/>
      <c r="G272" s="34"/>
      <c r="H272" s="44"/>
      <c r="I272" s="4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spans="1:63" ht="17.25" customHeight="1" x14ac:dyDescent="0.2">
      <c r="A273" s="1"/>
      <c r="B273" s="1"/>
      <c r="C273" s="34"/>
      <c r="D273" s="43"/>
      <c r="E273" s="34"/>
      <c r="F273" s="34"/>
      <c r="G273" s="34"/>
      <c r="H273" s="44"/>
      <c r="I273" s="4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spans="1:63" ht="15.75" customHeight="1" x14ac:dyDescent="0.2"/>
    <row r="275" spans="1:63" ht="15.75" customHeight="1" x14ac:dyDescent="0.2"/>
    <row r="276" spans="1:63" ht="15.75" customHeight="1" x14ac:dyDescent="0.2"/>
    <row r="277" spans="1:63" ht="15.75" customHeight="1" x14ac:dyDescent="0.2"/>
    <row r="278" spans="1:63" ht="15.75" customHeight="1" x14ac:dyDescent="0.2"/>
    <row r="279" spans="1:63" ht="15.75" customHeight="1" x14ac:dyDescent="0.2"/>
    <row r="280" spans="1:63" ht="15.75" customHeight="1" x14ac:dyDescent="0.2"/>
    <row r="281" spans="1:63" ht="15.75" customHeight="1" x14ac:dyDescent="0.2"/>
    <row r="282" spans="1:63" ht="15.75" customHeight="1" x14ac:dyDescent="0.2"/>
    <row r="283" spans="1:63" ht="15.75" customHeight="1" x14ac:dyDescent="0.2"/>
    <row r="284" spans="1:63" ht="15.75" customHeight="1" x14ac:dyDescent="0.2"/>
    <row r="285" spans="1:63" ht="15.75" customHeight="1" x14ac:dyDescent="0.2"/>
    <row r="286" spans="1:63" ht="15.75" customHeight="1" x14ac:dyDescent="0.2"/>
    <row r="287" spans="1:63" ht="15.75" customHeight="1" x14ac:dyDescent="0.2"/>
    <row r="288" spans="1:63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168">
    <mergeCell ref="AI33:AN33"/>
    <mergeCell ref="AI34:AN34"/>
    <mergeCell ref="AI35:AN35"/>
    <mergeCell ref="AO35:AQ35"/>
    <mergeCell ref="AI36:AN36"/>
    <mergeCell ref="AO36:AQ36"/>
    <mergeCell ref="AI40:AN40"/>
    <mergeCell ref="AI41:AN41"/>
    <mergeCell ref="B32:O32"/>
    <mergeCell ref="P32:AQ32"/>
    <mergeCell ref="B33:J33"/>
    <mergeCell ref="K33:N33"/>
    <mergeCell ref="AO33:AQ33"/>
    <mergeCell ref="K34:N34"/>
    <mergeCell ref="AO34:AQ34"/>
    <mergeCell ref="B34:J34"/>
    <mergeCell ref="B35:J35"/>
    <mergeCell ref="K35:N35"/>
    <mergeCell ref="B36:J36"/>
    <mergeCell ref="K36:N36"/>
    <mergeCell ref="B38:M38"/>
    <mergeCell ref="B39:M39"/>
    <mergeCell ref="AI31:AJ31"/>
    <mergeCell ref="AN31:AO31"/>
    <mergeCell ref="AE28:AL28"/>
    <mergeCell ref="AO28:AQ28"/>
    <mergeCell ref="B29:AQ29"/>
    <mergeCell ref="B30:AQ30"/>
    <mergeCell ref="B31:Z31"/>
    <mergeCell ref="AA31:AD31"/>
    <mergeCell ref="AE31:AH31"/>
    <mergeCell ref="P28:U28"/>
    <mergeCell ref="V28:Y28"/>
    <mergeCell ref="B28:O28"/>
    <mergeCell ref="P25:U25"/>
    <mergeCell ref="P26:U26"/>
    <mergeCell ref="V26:Y26"/>
    <mergeCell ref="P27:U27"/>
    <mergeCell ref="V27:Y27"/>
    <mergeCell ref="B48:M48"/>
    <mergeCell ref="B49:M49"/>
    <mergeCell ref="B50:M50"/>
    <mergeCell ref="B51:M51"/>
    <mergeCell ref="B40:M40"/>
    <mergeCell ref="B41:M41"/>
    <mergeCell ref="B42:M42"/>
    <mergeCell ref="B43:M43"/>
    <mergeCell ref="B44:M44"/>
    <mergeCell ref="B46:M46"/>
    <mergeCell ref="B47:M47"/>
    <mergeCell ref="V25:Y25"/>
    <mergeCell ref="AI25:AL25"/>
    <mergeCell ref="AA27:AD27"/>
    <mergeCell ref="AA28:AD28"/>
    <mergeCell ref="AA25:AD25"/>
    <mergeCell ref="AE25:AH25"/>
    <mergeCell ref="AA26:AD26"/>
    <mergeCell ref="AE26:AH26"/>
    <mergeCell ref="AI26:AL26"/>
    <mergeCell ref="AE27:AH27"/>
    <mergeCell ref="AI27:AL27"/>
    <mergeCell ref="AI23:AL23"/>
    <mergeCell ref="AA19:AD19"/>
    <mergeCell ref="AE19:AH19"/>
    <mergeCell ref="AA21:AD21"/>
    <mergeCell ref="AE21:AH21"/>
    <mergeCell ref="AI21:AL21"/>
    <mergeCell ref="AE22:AH22"/>
    <mergeCell ref="AI22:AL22"/>
    <mergeCell ref="P24:U24"/>
    <mergeCell ref="V24:Y24"/>
    <mergeCell ref="AA24:AD24"/>
    <mergeCell ref="AE24:AH24"/>
    <mergeCell ref="AI24:AL24"/>
    <mergeCell ref="P21:U21"/>
    <mergeCell ref="V21:Y21"/>
    <mergeCell ref="P22:U22"/>
    <mergeCell ref="V22:Y22"/>
    <mergeCell ref="P23:U23"/>
    <mergeCell ref="V23:Y23"/>
    <mergeCell ref="AA22:AD22"/>
    <mergeCell ref="AA23:AD23"/>
    <mergeCell ref="AE23:AH23"/>
    <mergeCell ref="P18:U18"/>
    <mergeCell ref="V18:Y18"/>
    <mergeCell ref="AA18:AD18"/>
    <mergeCell ref="AE18:AH18"/>
    <mergeCell ref="AI18:AL18"/>
    <mergeCell ref="V19:Y19"/>
    <mergeCell ref="AI19:AL19"/>
    <mergeCell ref="AA20:AD20"/>
    <mergeCell ref="AE20:AH20"/>
    <mergeCell ref="AI20:AL20"/>
    <mergeCell ref="P19:U19"/>
    <mergeCell ref="AA15:AD15"/>
    <mergeCell ref="AE15:AH15"/>
    <mergeCell ref="AI15:AL15"/>
    <mergeCell ref="P16:U16"/>
    <mergeCell ref="V16:Y16"/>
    <mergeCell ref="AI16:AL16"/>
    <mergeCell ref="AA17:AD17"/>
    <mergeCell ref="AE17:AH17"/>
    <mergeCell ref="AI17:AL17"/>
    <mergeCell ref="AK2:AQ2"/>
    <mergeCell ref="B3:U3"/>
    <mergeCell ref="V3:AQ3"/>
    <mergeCell ref="B5:AQ5"/>
    <mergeCell ref="B6:H7"/>
    <mergeCell ref="I6:Y7"/>
    <mergeCell ref="Z6:AI7"/>
    <mergeCell ref="AJ6:AQ7"/>
    <mergeCell ref="Z8:AI9"/>
    <mergeCell ref="AJ8:AQ9"/>
    <mergeCell ref="B8:H9"/>
    <mergeCell ref="P20:U20"/>
    <mergeCell ref="V20:Y20"/>
    <mergeCell ref="B20:C20"/>
    <mergeCell ref="B12:H13"/>
    <mergeCell ref="B14:C14"/>
    <mergeCell ref="D14:O14"/>
    <mergeCell ref="B15:C15"/>
    <mergeCell ref="D15:O15"/>
    <mergeCell ref="V2:AJ2"/>
    <mergeCell ref="B10:H11"/>
    <mergeCell ref="I10:Y11"/>
    <mergeCell ref="Z10:AI11"/>
    <mergeCell ref="AJ10:AQ11"/>
    <mergeCell ref="I12:O13"/>
    <mergeCell ref="AC12:AQ13"/>
    <mergeCell ref="P12:S13"/>
    <mergeCell ref="T12:Y13"/>
    <mergeCell ref="AA14:AD14"/>
    <mergeCell ref="AE14:AH14"/>
    <mergeCell ref="AI14:AL14"/>
    <mergeCell ref="AA16:AD16"/>
    <mergeCell ref="AE16:AH16"/>
    <mergeCell ref="P15:U15"/>
    <mergeCell ref="V15:Y15"/>
    <mergeCell ref="B1:O1"/>
    <mergeCell ref="B2:U2"/>
    <mergeCell ref="I8:Y9"/>
    <mergeCell ref="P14:U14"/>
    <mergeCell ref="V14:Y14"/>
    <mergeCell ref="B17:C17"/>
    <mergeCell ref="D17:O17"/>
    <mergeCell ref="P17:U17"/>
    <mergeCell ref="V17:Y17"/>
    <mergeCell ref="B16:C16"/>
    <mergeCell ref="D16:O16"/>
    <mergeCell ref="B22:C22"/>
    <mergeCell ref="B23:C23"/>
    <mergeCell ref="B24:C24"/>
    <mergeCell ref="B25:C25"/>
    <mergeCell ref="B26:C26"/>
    <mergeCell ref="B27:C27"/>
    <mergeCell ref="D23:O23"/>
    <mergeCell ref="D20:O20"/>
    <mergeCell ref="D24:O24"/>
    <mergeCell ref="D25:O25"/>
    <mergeCell ref="D26:O26"/>
    <mergeCell ref="D27:O27"/>
    <mergeCell ref="B18:C18"/>
    <mergeCell ref="D18:O18"/>
    <mergeCell ref="B19:C19"/>
    <mergeCell ref="D19:O19"/>
    <mergeCell ref="B21:C21"/>
    <mergeCell ref="D21:O21"/>
    <mergeCell ref="D22:O22"/>
  </mergeCells>
  <dataValidations count="1">
    <dataValidation type="list" allowBlank="1" showErrorMessage="1" sqref="O47:O52" xr:uid="{00000000-0002-0000-0000-000000000000}">
      <formula1>#REF!</formula1>
    </dataValidation>
  </dataValidations>
  <pageMargins left="0" right="0" top="0" bottom="0" header="0" footer="0"/>
  <pageSetup paperSize="9" orientation="portrait"/>
  <colBreaks count="1" manualBreakCount="1">
    <brk id="44" man="1"/>
  </col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995"/>
  <sheetViews>
    <sheetView workbookViewId="0">
      <selection activeCell="AW3" sqref="AW3"/>
    </sheetView>
  </sheetViews>
  <sheetFormatPr defaultColWidth="14.42578125" defaultRowHeight="15" customHeight="1" x14ac:dyDescent="0.2"/>
  <cols>
    <col min="1" max="1" width="1.28515625" customWidth="1"/>
    <col min="2" max="3" width="2.28515625" customWidth="1"/>
    <col min="4" max="4" width="1.42578125" customWidth="1"/>
    <col min="5" max="5" width="2.42578125" customWidth="1"/>
    <col min="6" max="6" width="1.42578125" customWidth="1"/>
    <col min="7" max="7" width="3.42578125" customWidth="1"/>
    <col min="8" max="8" width="2.42578125" customWidth="1"/>
    <col min="9" max="9" width="3.42578125" customWidth="1"/>
    <col min="10" max="10" width="2.28515625" customWidth="1"/>
    <col min="11" max="11" width="4" customWidth="1"/>
    <col min="12" max="14" width="2.28515625" customWidth="1"/>
    <col min="15" max="15" width="2.42578125" customWidth="1"/>
    <col min="16" max="16" width="1.42578125" customWidth="1"/>
    <col min="17" max="17" width="1.5703125" customWidth="1"/>
    <col min="18" max="18" width="1.7109375" customWidth="1"/>
    <col min="19" max="19" width="1" customWidth="1"/>
    <col min="20" max="20" width="1.7109375" customWidth="1"/>
    <col min="21" max="21" width="0.85546875" customWidth="1"/>
    <col min="22" max="22" width="1.28515625" customWidth="1"/>
    <col min="23" max="23" width="1.7109375" customWidth="1"/>
    <col min="24" max="24" width="3.28515625" customWidth="1"/>
    <col min="25" max="25" width="1.28515625" customWidth="1"/>
    <col min="26" max="26" width="6.7109375" customWidth="1"/>
    <col min="27" max="29" width="1.7109375" customWidth="1"/>
    <col min="30" max="30" width="1.5703125" customWidth="1"/>
    <col min="31" max="34" width="1.7109375" customWidth="1"/>
    <col min="35" max="35" width="2.28515625" customWidth="1"/>
    <col min="36" max="36" width="2.42578125" customWidth="1"/>
    <col min="37" max="37" width="1.28515625" customWidth="1"/>
    <col min="38" max="38" width="2.28515625" customWidth="1"/>
    <col min="39" max="39" width="7.7109375" customWidth="1"/>
    <col min="40" max="40" width="8" customWidth="1"/>
    <col min="41" max="41" width="8.85546875" customWidth="1"/>
    <col min="42" max="42" width="6.85546875" customWidth="1"/>
    <col min="43" max="43" width="8.28515625" customWidth="1"/>
    <col min="44" max="44" width="1.28515625" customWidth="1"/>
    <col min="45" max="48" width="2.7109375" customWidth="1"/>
    <col min="49" max="49" width="12.5703125" customWidth="1"/>
    <col min="50" max="63" width="2.7109375" customWidth="1"/>
  </cols>
  <sheetData>
    <row r="1" spans="1:63" ht="53.25" customHeight="1" x14ac:dyDescent="0.2">
      <c r="A1" s="1"/>
      <c r="B1" s="83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7.25" customHeight="1" x14ac:dyDescent="0.4">
      <c r="A2" s="2"/>
      <c r="B2" s="85" t="s">
        <v>58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75"/>
      <c r="V2" s="85" t="s">
        <v>59</v>
      </c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75"/>
      <c r="AK2" s="85" t="s">
        <v>60</v>
      </c>
      <c r="AL2" s="80"/>
      <c r="AM2" s="80"/>
      <c r="AN2" s="80"/>
      <c r="AO2" s="80"/>
      <c r="AP2" s="80"/>
      <c r="AQ2" s="75"/>
      <c r="AR2" s="2"/>
      <c r="AS2" s="2"/>
      <c r="AT2" s="2"/>
      <c r="AU2" s="2"/>
      <c r="AV2" s="2"/>
      <c r="AW2" s="2" t="s">
        <v>81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7.25" customHeight="1" x14ac:dyDescent="0.4">
      <c r="A3" s="2"/>
      <c r="B3" s="85" t="s">
        <v>3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75"/>
      <c r="V3" s="85" t="s">
        <v>4</v>
      </c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75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ht="6.75" customHeight="1" x14ac:dyDescent="0.4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3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21" x14ac:dyDescent="0.4">
      <c r="A5" s="2"/>
      <c r="B5" s="107" t="s">
        <v>61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75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9.75" customHeight="1" x14ac:dyDescent="0.4">
      <c r="A6" s="1"/>
      <c r="B6" s="108" t="s">
        <v>6</v>
      </c>
      <c r="C6" s="109"/>
      <c r="D6" s="109"/>
      <c r="E6" s="109"/>
      <c r="F6" s="109"/>
      <c r="G6" s="109"/>
      <c r="H6" s="110"/>
      <c r="I6" s="112" t="s">
        <v>62</v>
      </c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8"/>
      <c r="Z6" s="113" t="s">
        <v>7</v>
      </c>
      <c r="AA6" s="109"/>
      <c r="AB6" s="109"/>
      <c r="AC6" s="109"/>
      <c r="AD6" s="109"/>
      <c r="AE6" s="109"/>
      <c r="AF6" s="109"/>
      <c r="AG6" s="109"/>
      <c r="AH6" s="109"/>
      <c r="AI6" s="114"/>
      <c r="AJ6" s="174" t="s">
        <v>63</v>
      </c>
      <c r="AK6" s="84"/>
      <c r="AL6" s="84"/>
      <c r="AM6" s="84"/>
      <c r="AN6" s="84"/>
      <c r="AO6" s="84"/>
      <c r="AP6" s="84"/>
      <c r="AQ6" s="117"/>
      <c r="AR6" s="5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2"/>
      <c r="BG6" s="2"/>
      <c r="BH6" s="2"/>
      <c r="BI6" s="2"/>
      <c r="BJ6" s="2"/>
      <c r="BK6" s="2"/>
    </row>
    <row r="7" spans="1:63" ht="9.75" customHeight="1" x14ac:dyDescent="0.2">
      <c r="A7" s="1"/>
      <c r="B7" s="89"/>
      <c r="C7" s="90"/>
      <c r="D7" s="90"/>
      <c r="E7" s="90"/>
      <c r="F7" s="90"/>
      <c r="G7" s="90"/>
      <c r="H7" s="111"/>
      <c r="I7" s="89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  <c r="Z7" s="115"/>
      <c r="AA7" s="90"/>
      <c r="AB7" s="90"/>
      <c r="AC7" s="90"/>
      <c r="AD7" s="90"/>
      <c r="AE7" s="90"/>
      <c r="AF7" s="90"/>
      <c r="AG7" s="90"/>
      <c r="AH7" s="90"/>
      <c r="AI7" s="91"/>
      <c r="AJ7" s="90"/>
      <c r="AK7" s="90"/>
      <c r="AL7" s="90"/>
      <c r="AM7" s="90"/>
      <c r="AN7" s="90"/>
      <c r="AO7" s="90"/>
      <c r="AP7" s="90"/>
      <c r="AQ7" s="91"/>
      <c r="AR7" s="5"/>
      <c r="AS7" s="1"/>
      <c r="AT7" s="1"/>
      <c r="AU7" s="5"/>
      <c r="AV7" s="5"/>
      <c r="AW7" s="5"/>
      <c r="AX7" s="5"/>
      <c r="AY7" s="5"/>
      <c r="AZ7" s="5"/>
      <c r="BA7" s="5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9.75" customHeight="1" x14ac:dyDescent="0.2">
      <c r="A8" s="1"/>
      <c r="B8" s="101" t="s">
        <v>8</v>
      </c>
      <c r="C8" s="87"/>
      <c r="D8" s="87"/>
      <c r="E8" s="87"/>
      <c r="F8" s="87"/>
      <c r="G8" s="87"/>
      <c r="H8" s="120"/>
      <c r="I8" s="112" t="s">
        <v>64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  <c r="Z8" s="118" t="s">
        <v>9</v>
      </c>
      <c r="AA8" s="87"/>
      <c r="AB8" s="87"/>
      <c r="AC8" s="87"/>
      <c r="AD8" s="87"/>
      <c r="AE8" s="87"/>
      <c r="AF8" s="87"/>
      <c r="AG8" s="87"/>
      <c r="AH8" s="87"/>
      <c r="AI8" s="88"/>
      <c r="AJ8" s="119">
        <v>45566</v>
      </c>
      <c r="AK8" s="87"/>
      <c r="AL8" s="87"/>
      <c r="AM8" s="87"/>
      <c r="AN8" s="87"/>
      <c r="AO8" s="87"/>
      <c r="AP8" s="87"/>
      <c r="AQ8" s="88"/>
      <c r="AR8" s="6"/>
      <c r="AS8" s="1"/>
      <c r="AT8" s="1"/>
      <c r="AU8" s="5"/>
      <c r="AV8" s="5"/>
      <c r="AW8" s="5"/>
      <c r="AX8" s="5"/>
      <c r="AY8" s="5"/>
      <c r="AZ8" s="5"/>
      <c r="BA8" s="5"/>
      <c r="BB8" s="5"/>
      <c r="BC8" s="1"/>
      <c r="BD8" s="1"/>
      <c r="BE8" s="1"/>
      <c r="BF8" s="1"/>
      <c r="BG8" s="1"/>
      <c r="BH8" s="1"/>
      <c r="BI8" s="1"/>
      <c r="BJ8" s="1"/>
      <c r="BK8" s="1"/>
    </row>
    <row r="9" spans="1:63" ht="9.75" customHeight="1" x14ac:dyDescent="0.2">
      <c r="A9" s="1"/>
      <c r="B9" s="89"/>
      <c r="C9" s="90"/>
      <c r="D9" s="90"/>
      <c r="E9" s="90"/>
      <c r="F9" s="90"/>
      <c r="G9" s="90"/>
      <c r="H9" s="111"/>
      <c r="I9" s="89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1"/>
      <c r="Z9" s="115"/>
      <c r="AA9" s="90"/>
      <c r="AB9" s="90"/>
      <c r="AC9" s="90"/>
      <c r="AD9" s="90"/>
      <c r="AE9" s="90"/>
      <c r="AF9" s="90"/>
      <c r="AG9" s="90"/>
      <c r="AH9" s="90"/>
      <c r="AI9" s="91"/>
      <c r="AJ9" s="90"/>
      <c r="AK9" s="90"/>
      <c r="AL9" s="90"/>
      <c r="AM9" s="90"/>
      <c r="AN9" s="90"/>
      <c r="AO9" s="90"/>
      <c r="AP9" s="90"/>
      <c r="AQ9" s="91"/>
      <c r="AR9" s="6"/>
      <c r="AS9" s="1"/>
      <c r="AT9" s="1"/>
      <c r="AU9" s="7"/>
      <c r="AV9" s="7"/>
      <c r="AW9" s="7"/>
      <c r="AX9" s="7"/>
      <c r="AY9" s="7"/>
      <c r="AZ9" s="8"/>
      <c r="BA9" s="8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9.75" customHeight="1" x14ac:dyDescent="0.2">
      <c r="A10" s="1"/>
      <c r="B10" s="101" t="s">
        <v>10</v>
      </c>
      <c r="C10" s="87"/>
      <c r="D10" s="87"/>
      <c r="E10" s="87"/>
      <c r="F10" s="87"/>
      <c r="G10" s="87"/>
      <c r="H10" s="120"/>
      <c r="I10" s="121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8"/>
      <c r="Z10" s="118" t="s">
        <v>11</v>
      </c>
      <c r="AA10" s="87"/>
      <c r="AB10" s="87"/>
      <c r="AC10" s="87"/>
      <c r="AD10" s="87"/>
      <c r="AE10" s="87"/>
      <c r="AF10" s="87"/>
      <c r="AG10" s="87"/>
      <c r="AH10" s="87"/>
      <c r="AI10" s="88"/>
      <c r="AJ10" s="122" t="s">
        <v>12</v>
      </c>
      <c r="AK10" s="87"/>
      <c r="AL10" s="87"/>
      <c r="AM10" s="87"/>
      <c r="AN10" s="87"/>
      <c r="AO10" s="87"/>
      <c r="AP10" s="87"/>
      <c r="AQ10" s="88"/>
      <c r="AR10" s="6"/>
      <c r="AS10" s="1"/>
      <c r="AT10" s="1"/>
      <c r="AU10" s="1"/>
      <c r="AV10" s="1"/>
      <c r="AW10" s="1"/>
      <c r="AX10" s="1"/>
      <c r="AY10" s="1"/>
      <c r="AZ10" s="1"/>
      <c r="BA10" s="1"/>
      <c r="BB10" s="5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9.75" customHeight="1" x14ac:dyDescent="0.2">
      <c r="A11" s="1"/>
      <c r="B11" s="89"/>
      <c r="C11" s="90"/>
      <c r="D11" s="90"/>
      <c r="E11" s="90"/>
      <c r="F11" s="90"/>
      <c r="G11" s="90"/>
      <c r="H11" s="111"/>
      <c r="I11" s="89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1"/>
      <c r="Z11" s="115"/>
      <c r="AA11" s="90"/>
      <c r="AB11" s="90"/>
      <c r="AC11" s="90"/>
      <c r="AD11" s="90"/>
      <c r="AE11" s="90"/>
      <c r="AF11" s="90"/>
      <c r="AG11" s="90"/>
      <c r="AH11" s="90"/>
      <c r="AI11" s="91"/>
      <c r="AJ11" s="90"/>
      <c r="AK11" s="90"/>
      <c r="AL11" s="90"/>
      <c r="AM11" s="90"/>
      <c r="AN11" s="90"/>
      <c r="AO11" s="90"/>
      <c r="AP11" s="90"/>
      <c r="AQ11" s="91"/>
      <c r="AR11" s="6"/>
      <c r="AS11" s="9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9.75" customHeight="1" x14ac:dyDescent="0.2">
      <c r="A12" s="1"/>
      <c r="B12" s="101" t="s">
        <v>13</v>
      </c>
      <c r="C12" s="87"/>
      <c r="D12" s="87"/>
      <c r="E12" s="87"/>
      <c r="F12" s="87"/>
      <c r="G12" s="87"/>
      <c r="H12" s="88"/>
      <c r="I12" s="123">
        <f>1500000+(1500000*5)/100</f>
        <v>1575000</v>
      </c>
      <c r="J12" s="84"/>
      <c r="K12" s="84"/>
      <c r="L12" s="84"/>
      <c r="M12" s="84"/>
      <c r="N12" s="84"/>
      <c r="O12" s="117"/>
      <c r="P12" s="125" t="s">
        <v>14</v>
      </c>
      <c r="Q12" s="109"/>
      <c r="R12" s="109"/>
      <c r="S12" s="110"/>
      <c r="T12" s="121" t="s">
        <v>15</v>
      </c>
      <c r="U12" s="87"/>
      <c r="V12" s="87"/>
      <c r="W12" s="87"/>
      <c r="X12" s="87"/>
      <c r="Y12" s="88"/>
      <c r="Z12" s="5"/>
      <c r="AA12" s="5"/>
      <c r="AB12" s="5"/>
      <c r="AC12" s="12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117"/>
      <c r="AR12" s="6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9.75" customHeight="1" x14ac:dyDescent="0.2">
      <c r="A13" s="1"/>
      <c r="B13" s="89"/>
      <c r="C13" s="90"/>
      <c r="D13" s="90"/>
      <c r="E13" s="90"/>
      <c r="F13" s="90"/>
      <c r="G13" s="90"/>
      <c r="H13" s="91"/>
      <c r="I13" s="89"/>
      <c r="J13" s="90"/>
      <c r="K13" s="90"/>
      <c r="L13" s="90"/>
      <c r="M13" s="90"/>
      <c r="N13" s="90"/>
      <c r="O13" s="91"/>
      <c r="P13" s="89"/>
      <c r="Q13" s="90"/>
      <c r="R13" s="90"/>
      <c r="S13" s="111"/>
      <c r="T13" s="89"/>
      <c r="U13" s="90"/>
      <c r="V13" s="90"/>
      <c r="W13" s="90"/>
      <c r="X13" s="90"/>
      <c r="Y13" s="91"/>
      <c r="Z13" s="10"/>
      <c r="AA13" s="10"/>
      <c r="AB13" s="1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1"/>
      <c r="AR13" s="6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2.75" customHeight="1" x14ac:dyDescent="0.2">
      <c r="A14" s="11"/>
      <c r="B14" s="92" t="s">
        <v>16</v>
      </c>
      <c r="C14" s="94"/>
      <c r="D14" s="92" t="s">
        <v>17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102"/>
      <c r="P14" s="92" t="s">
        <v>18</v>
      </c>
      <c r="Q14" s="93"/>
      <c r="R14" s="93"/>
      <c r="S14" s="93"/>
      <c r="T14" s="93"/>
      <c r="U14" s="94"/>
      <c r="V14" s="92" t="s">
        <v>19</v>
      </c>
      <c r="W14" s="93"/>
      <c r="X14" s="93"/>
      <c r="Y14" s="94"/>
      <c r="Z14" s="12" t="s">
        <v>20</v>
      </c>
      <c r="AA14" s="92" t="s">
        <v>21</v>
      </c>
      <c r="AB14" s="93"/>
      <c r="AC14" s="93"/>
      <c r="AD14" s="94"/>
      <c r="AE14" s="92" t="s">
        <v>22</v>
      </c>
      <c r="AF14" s="93"/>
      <c r="AG14" s="93"/>
      <c r="AH14" s="94"/>
      <c r="AI14" s="92" t="s">
        <v>23</v>
      </c>
      <c r="AJ14" s="93"/>
      <c r="AK14" s="93"/>
      <c r="AL14" s="94"/>
      <c r="AM14" s="13" t="s">
        <v>24</v>
      </c>
      <c r="AN14" s="13" t="s">
        <v>25</v>
      </c>
      <c r="AO14" s="12" t="s">
        <v>18</v>
      </c>
      <c r="AP14" s="12" t="s">
        <v>26</v>
      </c>
      <c r="AQ14" s="12" t="s">
        <v>27</v>
      </c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</row>
    <row r="15" spans="1:63" ht="12.75" customHeight="1" x14ac:dyDescent="0.2">
      <c r="A15" s="14"/>
      <c r="B15" s="103" t="s">
        <v>28</v>
      </c>
      <c r="C15" s="104"/>
      <c r="D15" s="103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6"/>
      <c r="P15" s="103" t="s">
        <v>29</v>
      </c>
      <c r="Q15" s="105"/>
      <c r="R15" s="105"/>
      <c r="S15" s="105"/>
      <c r="T15" s="105"/>
      <c r="U15" s="104"/>
      <c r="V15" s="103" t="s">
        <v>30</v>
      </c>
      <c r="W15" s="105"/>
      <c r="X15" s="105"/>
      <c r="Y15" s="104"/>
      <c r="Z15" s="15" t="s">
        <v>31</v>
      </c>
      <c r="AA15" s="103" t="s">
        <v>32</v>
      </c>
      <c r="AB15" s="105"/>
      <c r="AC15" s="105"/>
      <c r="AD15" s="104"/>
      <c r="AE15" s="103" t="s">
        <v>33</v>
      </c>
      <c r="AF15" s="105"/>
      <c r="AG15" s="105"/>
      <c r="AH15" s="104"/>
      <c r="AI15" s="103" t="s">
        <v>34</v>
      </c>
      <c r="AJ15" s="105"/>
      <c r="AK15" s="105"/>
      <c r="AL15" s="104"/>
      <c r="AM15" s="16" t="s">
        <v>35</v>
      </c>
      <c r="AN15" s="16"/>
      <c r="AO15" s="15" t="s">
        <v>36</v>
      </c>
      <c r="AP15" s="17"/>
      <c r="AQ15" s="17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</row>
    <row r="16" spans="1:63" ht="14.25" customHeight="1" x14ac:dyDescent="0.2">
      <c r="A16" s="14"/>
      <c r="B16" s="74">
        <v>1</v>
      </c>
      <c r="C16" s="75"/>
      <c r="D16" s="81">
        <f>'คิดต้นทุน สรุป'!D16:O16</f>
        <v>0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75"/>
      <c r="P16" s="136">
        <f>'คิดต้นทุน สรุป'!P16:U16</f>
        <v>0</v>
      </c>
      <c r="Q16" s="80"/>
      <c r="R16" s="80"/>
      <c r="S16" s="80"/>
      <c r="T16" s="80"/>
      <c r="U16" s="75"/>
      <c r="V16" s="177">
        <f>SUM(P16*I12/1000000)</f>
        <v>0</v>
      </c>
      <c r="W16" s="80"/>
      <c r="X16" s="80"/>
      <c r="Y16" s="75"/>
      <c r="Z16" s="60" t="e">
        <f>P16*100/P28</f>
        <v>#DIV/0!</v>
      </c>
      <c r="AA16" s="175"/>
      <c r="AB16" s="80"/>
      <c r="AC16" s="80"/>
      <c r="AD16" s="75"/>
      <c r="AE16" s="176">
        <f t="shared" ref="AE16:AE27" si="0">SUM(AA16/1000000*P16)</f>
        <v>0</v>
      </c>
      <c r="AF16" s="80"/>
      <c r="AG16" s="80"/>
      <c r="AH16" s="75"/>
      <c r="AI16" s="74">
        <f>'คิดต้นทุน สรุป'!AI16:AL16</f>
        <v>0</v>
      </c>
      <c r="AJ16" s="80"/>
      <c r="AK16" s="80"/>
      <c r="AL16" s="75"/>
      <c r="AM16" s="19">
        <f>'คิดต้นทุน สรุป'!AM16</f>
        <v>0</v>
      </c>
      <c r="AN16" s="20"/>
      <c r="AO16" s="21">
        <f t="shared" ref="AO16:AO27" si="1">+P16*$AP$29</f>
        <v>0</v>
      </c>
      <c r="AP16" s="22">
        <f t="shared" ref="AP16:AP27" si="2">+AO16/1000</f>
        <v>0</v>
      </c>
      <c r="AQ16" s="21">
        <f t="shared" ref="AQ16:AQ27" si="3">SUM(AA16/1000000*AO16)</f>
        <v>0</v>
      </c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</row>
    <row r="17" spans="1:63" ht="14.25" customHeight="1" x14ac:dyDescent="0.2">
      <c r="A17" s="14"/>
      <c r="B17" s="74">
        <v>2</v>
      </c>
      <c r="C17" s="75"/>
      <c r="D17" s="81">
        <f>'คิดต้นทุน สรุป'!D17:O17</f>
        <v>0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75"/>
      <c r="P17" s="136">
        <f>'คิดต้นทุน สรุป'!P17:U17</f>
        <v>0</v>
      </c>
      <c r="Q17" s="80"/>
      <c r="R17" s="80"/>
      <c r="S17" s="80"/>
      <c r="T17" s="80"/>
      <c r="U17" s="75"/>
      <c r="V17" s="177">
        <f>SUM(P17*I12/1000000)</f>
        <v>0</v>
      </c>
      <c r="W17" s="80"/>
      <c r="X17" s="80"/>
      <c r="Y17" s="75"/>
      <c r="Z17" s="60" t="e">
        <f>P17*100/P28</f>
        <v>#DIV/0!</v>
      </c>
      <c r="AA17" s="175"/>
      <c r="AB17" s="80"/>
      <c r="AC17" s="80"/>
      <c r="AD17" s="75"/>
      <c r="AE17" s="176">
        <f t="shared" si="0"/>
        <v>0</v>
      </c>
      <c r="AF17" s="80"/>
      <c r="AG17" s="80"/>
      <c r="AH17" s="75"/>
      <c r="AI17" s="74">
        <f>'คิดต้นทุน สรุป'!AI17:AL17</f>
        <v>0</v>
      </c>
      <c r="AJ17" s="80"/>
      <c r="AK17" s="80"/>
      <c r="AL17" s="75"/>
      <c r="AM17" s="19">
        <f>'คิดต้นทุน สรุป'!AM17</f>
        <v>0</v>
      </c>
      <c r="AN17" s="20"/>
      <c r="AO17" s="21">
        <f t="shared" si="1"/>
        <v>0</v>
      </c>
      <c r="AP17" s="22">
        <f t="shared" si="2"/>
        <v>0</v>
      </c>
      <c r="AQ17" s="21">
        <f t="shared" si="3"/>
        <v>0</v>
      </c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</row>
    <row r="18" spans="1:63" ht="14.25" customHeight="1" x14ac:dyDescent="0.2">
      <c r="A18" s="14"/>
      <c r="B18" s="74">
        <v>4</v>
      </c>
      <c r="C18" s="75"/>
      <c r="D18" s="81">
        <f>'คิดต้นทุน สรุป'!D18:O18</f>
        <v>0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75"/>
      <c r="P18" s="136">
        <f>'คิดต้นทุน สรุป'!P18:U18</f>
        <v>0</v>
      </c>
      <c r="Q18" s="80"/>
      <c r="R18" s="80"/>
      <c r="S18" s="80"/>
      <c r="T18" s="80"/>
      <c r="U18" s="75"/>
      <c r="V18" s="177">
        <f>SUM(P18*I12/1000000)</f>
        <v>0</v>
      </c>
      <c r="W18" s="80"/>
      <c r="X18" s="80"/>
      <c r="Y18" s="75"/>
      <c r="Z18" s="60" t="e">
        <f>P18*100/P28</f>
        <v>#DIV/0!</v>
      </c>
      <c r="AA18" s="175"/>
      <c r="AB18" s="80"/>
      <c r="AC18" s="80"/>
      <c r="AD18" s="75"/>
      <c r="AE18" s="176">
        <f t="shared" si="0"/>
        <v>0</v>
      </c>
      <c r="AF18" s="80"/>
      <c r="AG18" s="80"/>
      <c r="AH18" s="75"/>
      <c r="AI18" s="74">
        <f>'คิดต้นทุน สรุป'!AI18:AL18</f>
        <v>0</v>
      </c>
      <c r="AJ18" s="80"/>
      <c r="AK18" s="80"/>
      <c r="AL18" s="75"/>
      <c r="AM18" s="19">
        <f>'คิดต้นทุน สรุป'!AM18</f>
        <v>0</v>
      </c>
      <c r="AN18" s="20"/>
      <c r="AO18" s="21">
        <f t="shared" si="1"/>
        <v>0</v>
      </c>
      <c r="AP18" s="22">
        <f t="shared" si="2"/>
        <v>0</v>
      </c>
      <c r="AQ18" s="21">
        <f t="shared" si="3"/>
        <v>0</v>
      </c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</row>
    <row r="19" spans="1:63" ht="14.25" customHeight="1" x14ac:dyDescent="0.2">
      <c r="A19" s="14"/>
      <c r="B19" s="74">
        <v>5</v>
      </c>
      <c r="C19" s="75"/>
      <c r="D19" s="81">
        <f>'คิดต้นทุน สรุป'!D19:O19</f>
        <v>0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75"/>
      <c r="P19" s="136">
        <f>'คิดต้นทุน สรุป'!P19:U19</f>
        <v>0</v>
      </c>
      <c r="Q19" s="80"/>
      <c r="R19" s="80"/>
      <c r="S19" s="80"/>
      <c r="T19" s="80"/>
      <c r="U19" s="75"/>
      <c r="V19" s="177">
        <f>SUM(P19*I12/1000000)</f>
        <v>0</v>
      </c>
      <c r="W19" s="80"/>
      <c r="X19" s="80"/>
      <c r="Y19" s="75"/>
      <c r="Z19" s="60" t="e">
        <f>P19*100/P28</f>
        <v>#DIV/0!</v>
      </c>
      <c r="AA19" s="175"/>
      <c r="AB19" s="80"/>
      <c r="AC19" s="80"/>
      <c r="AD19" s="75"/>
      <c r="AE19" s="176">
        <f t="shared" si="0"/>
        <v>0</v>
      </c>
      <c r="AF19" s="80"/>
      <c r="AG19" s="80"/>
      <c r="AH19" s="75"/>
      <c r="AI19" s="74">
        <f>'คิดต้นทุน สรุป'!AI19:AL19</f>
        <v>0</v>
      </c>
      <c r="AJ19" s="80"/>
      <c r="AK19" s="80"/>
      <c r="AL19" s="75"/>
      <c r="AM19" s="19">
        <f>'คิดต้นทุน สรุป'!AM19</f>
        <v>0</v>
      </c>
      <c r="AN19" s="20"/>
      <c r="AO19" s="21">
        <f t="shared" si="1"/>
        <v>0</v>
      </c>
      <c r="AP19" s="22">
        <f t="shared" si="2"/>
        <v>0</v>
      </c>
      <c r="AQ19" s="21">
        <f t="shared" si="3"/>
        <v>0</v>
      </c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</row>
    <row r="20" spans="1:63" ht="14.25" customHeight="1" x14ac:dyDescent="0.2">
      <c r="A20" s="14"/>
      <c r="B20" s="74">
        <v>6</v>
      </c>
      <c r="C20" s="75"/>
      <c r="D20" s="81">
        <f>'คิดต้นทุน สรุป'!D21:O21</f>
        <v>0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75"/>
      <c r="P20" s="136">
        <f>'คิดต้นทุน สรุป'!P21:U21</f>
        <v>0</v>
      </c>
      <c r="Q20" s="80"/>
      <c r="R20" s="80"/>
      <c r="S20" s="80"/>
      <c r="T20" s="80"/>
      <c r="U20" s="75"/>
      <c r="V20" s="177">
        <f>SUM(P20*I12/1000000)</f>
        <v>0</v>
      </c>
      <c r="W20" s="80"/>
      <c r="X20" s="80"/>
      <c r="Y20" s="75"/>
      <c r="Z20" s="60" t="e">
        <f>P20*100/P28</f>
        <v>#DIV/0!</v>
      </c>
      <c r="AA20" s="175"/>
      <c r="AB20" s="80"/>
      <c r="AC20" s="80"/>
      <c r="AD20" s="75"/>
      <c r="AE20" s="176">
        <f t="shared" si="0"/>
        <v>0</v>
      </c>
      <c r="AF20" s="80"/>
      <c r="AG20" s="80"/>
      <c r="AH20" s="75"/>
      <c r="AI20" s="74">
        <f>'คิดต้นทุน สรุป'!AI21:AL21</f>
        <v>0</v>
      </c>
      <c r="AJ20" s="80"/>
      <c r="AK20" s="80"/>
      <c r="AL20" s="75"/>
      <c r="AM20" s="19">
        <f>'คิดต้นทุน สรุป'!AM21</f>
        <v>0</v>
      </c>
      <c r="AN20" s="20"/>
      <c r="AO20" s="21">
        <f t="shared" si="1"/>
        <v>0</v>
      </c>
      <c r="AP20" s="22">
        <f t="shared" si="2"/>
        <v>0</v>
      </c>
      <c r="AQ20" s="21">
        <f t="shared" si="3"/>
        <v>0</v>
      </c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</row>
    <row r="21" spans="1:63" ht="14.25" customHeight="1" x14ac:dyDescent="0.2">
      <c r="A21" s="1"/>
      <c r="B21" s="74">
        <v>7</v>
      </c>
      <c r="C21" s="75"/>
      <c r="D21" s="81">
        <f>'คิดต้นทุน สรุป'!D22:O22</f>
        <v>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75"/>
      <c r="P21" s="136">
        <f>'คิดต้นทุน สรุป'!P22:U22</f>
        <v>0</v>
      </c>
      <c r="Q21" s="80"/>
      <c r="R21" s="80"/>
      <c r="S21" s="80"/>
      <c r="T21" s="80"/>
      <c r="U21" s="75"/>
      <c r="V21" s="177">
        <f>SUM(P21*I12/1000000)</f>
        <v>0</v>
      </c>
      <c r="W21" s="80"/>
      <c r="X21" s="80"/>
      <c r="Y21" s="75"/>
      <c r="Z21" s="60" t="e">
        <f>P21*100/P28</f>
        <v>#DIV/0!</v>
      </c>
      <c r="AA21" s="175"/>
      <c r="AB21" s="80"/>
      <c r="AC21" s="80"/>
      <c r="AD21" s="75"/>
      <c r="AE21" s="176">
        <f t="shared" si="0"/>
        <v>0</v>
      </c>
      <c r="AF21" s="80"/>
      <c r="AG21" s="80"/>
      <c r="AH21" s="75"/>
      <c r="AI21" s="74">
        <f>'คิดต้นทุน สรุป'!AI22:AL22</f>
        <v>0</v>
      </c>
      <c r="AJ21" s="80"/>
      <c r="AK21" s="80"/>
      <c r="AL21" s="75"/>
      <c r="AM21" s="19">
        <f>'คิดต้นทุน สรุป'!AM22</f>
        <v>0</v>
      </c>
      <c r="AN21" s="20"/>
      <c r="AO21" s="21">
        <f t="shared" si="1"/>
        <v>0</v>
      </c>
      <c r="AP21" s="22">
        <f t="shared" si="2"/>
        <v>0</v>
      </c>
      <c r="AQ21" s="21">
        <f t="shared" si="3"/>
        <v>0</v>
      </c>
      <c r="AR21" s="1"/>
      <c r="AS21" s="1"/>
      <c r="AT21" s="1"/>
      <c r="AU21" s="1"/>
      <c r="AV21" s="1"/>
      <c r="AW21" s="24"/>
      <c r="AX21" s="24"/>
      <c r="AY21" s="24"/>
      <c r="AZ21" s="24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4.25" customHeight="1" x14ac:dyDescent="0.2">
      <c r="A22" s="14"/>
      <c r="B22" s="74">
        <v>8</v>
      </c>
      <c r="C22" s="75"/>
      <c r="D22" s="81">
        <f>'คิดต้นทุน สรุป'!D23:O23</f>
        <v>0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75"/>
      <c r="P22" s="136">
        <f>'คิดต้นทุน สรุป'!P23:U23</f>
        <v>0</v>
      </c>
      <c r="Q22" s="80"/>
      <c r="R22" s="80"/>
      <c r="S22" s="80"/>
      <c r="T22" s="80"/>
      <c r="U22" s="75"/>
      <c r="V22" s="177">
        <f>SUM(P22*I12/1000000)</f>
        <v>0</v>
      </c>
      <c r="W22" s="80"/>
      <c r="X22" s="80"/>
      <c r="Y22" s="75"/>
      <c r="Z22" s="60" t="e">
        <f>P22*100/P28</f>
        <v>#DIV/0!</v>
      </c>
      <c r="AA22" s="175"/>
      <c r="AB22" s="80"/>
      <c r="AC22" s="80"/>
      <c r="AD22" s="75"/>
      <c r="AE22" s="176">
        <f t="shared" si="0"/>
        <v>0</v>
      </c>
      <c r="AF22" s="80"/>
      <c r="AG22" s="80"/>
      <c r="AH22" s="75"/>
      <c r="AI22" s="74">
        <f>'คิดต้นทุน สรุป'!AI23:AL23</f>
        <v>0</v>
      </c>
      <c r="AJ22" s="80"/>
      <c r="AK22" s="80"/>
      <c r="AL22" s="75"/>
      <c r="AM22" s="19">
        <f>'คิดต้นทุน สรุป'!AM23</f>
        <v>0</v>
      </c>
      <c r="AN22" s="20"/>
      <c r="AO22" s="21">
        <f t="shared" si="1"/>
        <v>0</v>
      </c>
      <c r="AP22" s="22">
        <f t="shared" si="2"/>
        <v>0</v>
      </c>
      <c r="AQ22" s="21">
        <f t="shared" si="3"/>
        <v>0</v>
      </c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</row>
    <row r="23" spans="1:63" ht="14.25" customHeight="1" x14ac:dyDescent="0.2">
      <c r="A23" s="14"/>
      <c r="B23" s="74">
        <v>9</v>
      </c>
      <c r="C23" s="75"/>
      <c r="D23" s="81">
        <f>'คิดต้นทุน สรุป'!D20:O20</f>
        <v>0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75"/>
      <c r="P23" s="136">
        <f>'คิดต้นทุน สรุป'!P20:U20</f>
        <v>0</v>
      </c>
      <c r="Q23" s="80"/>
      <c r="R23" s="80"/>
      <c r="S23" s="80"/>
      <c r="T23" s="80"/>
      <c r="U23" s="75"/>
      <c r="V23" s="177">
        <f>SUM(P23*I12/1000000)</f>
        <v>0</v>
      </c>
      <c r="W23" s="80"/>
      <c r="X23" s="80"/>
      <c r="Y23" s="75"/>
      <c r="Z23" s="60" t="e">
        <f>P23*100/P28</f>
        <v>#DIV/0!</v>
      </c>
      <c r="AA23" s="175"/>
      <c r="AB23" s="80"/>
      <c r="AC23" s="80"/>
      <c r="AD23" s="75"/>
      <c r="AE23" s="176">
        <f t="shared" si="0"/>
        <v>0</v>
      </c>
      <c r="AF23" s="80"/>
      <c r="AG23" s="80"/>
      <c r="AH23" s="75"/>
      <c r="AI23" s="74">
        <f>'คิดต้นทุน สรุป'!AI20:AL20</f>
        <v>0</v>
      </c>
      <c r="AJ23" s="80"/>
      <c r="AK23" s="80"/>
      <c r="AL23" s="75"/>
      <c r="AM23" s="19">
        <f>'คิดต้นทุน สรุป'!AM20</f>
        <v>0</v>
      </c>
      <c r="AN23" s="20"/>
      <c r="AO23" s="21">
        <f t="shared" si="1"/>
        <v>0</v>
      </c>
      <c r="AP23" s="22">
        <f t="shared" si="2"/>
        <v>0</v>
      </c>
      <c r="AQ23" s="21">
        <f t="shared" si="3"/>
        <v>0</v>
      </c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</row>
    <row r="24" spans="1:63" ht="14.25" customHeight="1" x14ac:dyDescent="0.2">
      <c r="A24" s="14"/>
      <c r="B24" s="74">
        <v>10</v>
      </c>
      <c r="C24" s="75"/>
      <c r="D24" s="81">
        <f>'คิดต้นทุน สรุป'!D24:O24</f>
        <v>0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75"/>
      <c r="P24" s="136">
        <f>'คิดต้นทุน สรุป'!P24:U24</f>
        <v>0</v>
      </c>
      <c r="Q24" s="80"/>
      <c r="R24" s="80"/>
      <c r="S24" s="80"/>
      <c r="T24" s="80"/>
      <c r="U24" s="75"/>
      <c r="V24" s="177">
        <f>SUM(P24*I12/1000000)</f>
        <v>0</v>
      </c>
      <c r="W24" s="80"/>
      <c r="X24" s="80"/>
      <c r="Y24" s="75"/>
      <c r="Z24" s="60" t="e">
        <f>P24*100/P28</f>
        <v>#DIV/0!</v>
      </c>
      <c r="AA24" s="175"/>
      <c r="AB24" s="80"/>
      <c r="AC24" s="80"/>
      <c r="AD24" s="75"/>
      <c r="AE24" s="176">
        <f t="shared" si="0"/>
        <v>0</v>
      </c>
      <c r="AF24" s="80"/>
      <c r="AG24" s="80"/>
      <c r="AH24" s="75"/>
      <c r="AI24" s="74">
        <f>'คิดต้นทุน สรุป'!AI24:AL24</f>
        <v>0</v>
      </c>
      <c r="AJ24" s="80"/>
      <c r="AK24" s="80"/>
      <c r="AL24" s="75"/>
      <c r="AM24" s="19">
        <f>'คิดต้นทุน สรุป'!AM24</f>
        <v>0</v>
      </c>
      <c r="AN24" s="20"/>
      <c r="AO24" s="21">
        <f t="shared" si="1"/>
        <v>0</v>
      </c>
      <c r="AP24" s="22">
        <f t="shared" si="2"/>
        <v>0</v>
      </c>
      <c r="AQ24" s="21">
        <f t="shared" si="3"/>
        <v>0</v>
      </c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</row>
    <row r="25" spans="1:63" ht="14.25" customHeight="1" x14ac:dyDescent="0.2">
      <c r="A25" s="14"/>
      <c r="B25" s="74">
        <v>11</v>
      </c>
      <c r="C25" s="75"/>
      <c r="D25" s="81">
        <f>'คิดต้นทุน สรุป'!D25:O25</f>
        <v>0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75"/>
      <c r="P25" s="136">
        <f>'คิดต้นทุน สรุป'!P25:U25</f>
        <v>0</v>
      </c>
      <c r="Q25" s="80"/>
      <c r="R25" s="80"/>
      <c r="S25" s="80"/>
      <c r="T25" s="80"/>
      <c r="U25" s="75"/>
      <c r="V25" s="177">
        <f>SUM(P25*I12/1000000)</f>
        <v>0</v>
      </c>
      <c r="W25" s="80"/>
      <c r="X25" s="80"/>
      <c r="Y25" s="75"/>
      <c r="Z25" s="60" t="e">
        <f>P25*100/P28</f>
        <v>#DIV/0!</v>
      </c>
      <c r="AA25" s="175"/>
      <c r="AB25" s="80"/>
      <c r="AC25" s="80"/>
      <c r="AD25" s="75"/>
      <c r="AE25" s="176">
        <f t="shared" si="0"/>
        <v>0</v>
      </c>
      <c r="AF25" s="80"/>
      <c r="AG25" s="80"/>
      <c r="AH25" s="75"/>
      <c r="AI25" s="74">
        <f>'คิดต้นทุน สรุป'!AI25:AL25</f>
        <v>0</v>
      </c>
      <c r="AJ25" s="80"/>
      <c r="AK25" s="80"/>
      <c r="AL25" s="75"/>
      <c r="AM25" s="19">
        <f>'คิดต้นทุน สรุป'!AM25</f>
        <v>0</v>
      </c>
      <c r="AN25" s="20"/>
      <c r="AO25" s="21">
        <f t="shared" si="1"/>
        <v>0</v>
      </c>
      <c r="AP25" s="22">
        <f t="shared" si="2"/>
        <v>0</v>
      </c>
      <c r="AQ25" s="21">
        <f t="shared" si="3"/>
        <v>0</v>
      </c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</row>
    <row r="26" spans="1:63" ht="14.25" customHeight="1" x14ac:dyDescent="0.2">
      <c r="A26" s="1"/>
      <c r="B26" s="74">
        <v>12</v>
      </c>
      <c r="C26" s="75"/>
      <c r="D26" s="81">
        <f>'คิดต้นทุน สรุป'!D26:O26</f>
        <v>0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75"/>
      <c r="P26" s="136">
        <f>'คิดต้นทุน สรุป'!P26:U26</f>
        <v>0</v>
      </c>
      <c r="Q26" s="80"/>
      <c r="R26" s="80"/>
      <c r="S26" s="80"/>
      <c r="T26" s="80"/>
      <c r="U26" s="75"/>
      <c r="V26" s="177">
        <f>SUM(P26*I12/1000000)</f>
        <v>0</v>
      </c>
      <c r="W26" s="80"/>
      <c r="X26" s="80"/>
      <c r="Y26" s="75"/>
      <c r="Z26" s="61" t="e">
        <f>P26*100/P28</f>
        <v>#DIV/0!</v>
      </c>
      <c r="AA26" s="133"/>
      <c r="AB26" s="87"/>
      <c r="AC26" s="87"/>
      <c r="AD26" s="88"/>
      <c r="AE26" s="176">
        <f t="shared" si="0"/>
        <v>0</v>
      </c>
      <c r="AF26" s="80"/>
      <c r="AG26" s="80"/>
      <c r="AH26" s="75"/>
      <c r="AI26" s="74">
        <f>'คิดต้นทุน สรุป'!AI26:AL26</f>
        <v>0</v>
      </c>
      <c r="AJ26" s="80"/>
      <c r="AK26" s="80"/>
      <c r="AL26" s="75"/>
      <c r="AM26" s="19">
        <f>'คิดต้นทุน สรุป'!AM26</f>
        <v>0</v>
      </c>
      <c r="AN26" s="20"/>
      <c r="AO26" s="21">
        <f t="shared" si="1"/>
        <v>0</v>
      </c>
      <c r="AP26" s="22">
        <f t="shared" si="2"/>
        <v>0</v>
      </c>
      <c r="AQ26" s="21">
        <f t="shared" si="3"/>
        <v>0</v>
      </c>
      <c r="AR26" s="1"/>
      <c r="AS26" s="1"/>
      <c r="AT26" s="1"/>
      <c r="AU26" s="1"/>
      <c r="AV26" s="1"/>
      <c r="AW26" s="24"/>
      <c r="AX26" s="24"/>
      <c r="AY26" s="24"/>
      <c r="AZ26" s="24"/>
      <c r="BA26" s="25"/>
      <c r="BB26" s="25"/>
      <c r="BC26" s="25"/>
      <c r="BD26" s="25"/>
      <c r="BE26" s="25"/>
      <c r="BF26" s="1"/>
      <c r="BG26" s="1"/>
      <c r="BH26" s="1"/>
      <c r="BI26" s="1"/>
      <c r="BJ26" s="1"/>
      <c r="BK26" s="1"/>
    </row>
    <row r="27" spans="1:63" ht="14.25" customHeight="1" x14ac:dyDescent="0.2">
      <c r="A27" s="1"/>
      <c r="B27" s="74">
        <v>13</v>
      </c>
      <c r="C27" s="75"/>
      <c r="D27" s="81">
        <f>'คิดต้นทุน สรุป'!D27:O27</f>
        <v>0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75"/>
      <c r="P27" s="136">
        <f>'คิดต้นทุน สรุป'!P27:U27</f>
        <v>0</v>
      </c>
      <c r="Q27" s="80"/>
      <c r="R27" s="80"/>
      <c r="S27" s="80"/>
      <c r="T27" s="80"/>
      <c r="U27" s="75"/>
      <c r="V27" s="177">
        <f>SUM(P27*I12/1000000)</f>
        <v>0</v>
      </c>
      <c r="W27" s="80"/>
      <c r="X27" s="80"/>
      <c r="Y27" s="75"/>
      <c r="Z27" s="60" t="e">
        <f>P27*100/P28</f>
        <v>#DIV/0!</v>
      </c>
      <c r="AA27" s="133"/>
      <c r="AB27" s="87"/>
      <c r="AC27" s="87"/>
      <c r="AD27" s="88"/>
      <c r="AE27" s="176">
        <f t="shared" si="0"/>
        <v>0</v>
      </c>
      <c r="AF27" s="80"/>
      <c r="AG27" s="80"/>
      <c r="AH27" s="75"/>
      <c r="AI27" s="74">
        <f>'คิดต้นทุน สรุป'!AI27:AL27</f>
        <v>0</v>
      </c>
      <c r="AJ27" s="80"/>
      <c r="AK27" s="80"/>
      <c r="AL27" s="75"/>
      <c r="AM27" s="19">
        <f>'คิดต้นทุน สรุป'!AM27</f>
        <v>0</v>
      </c>
      <c r="AN27" s="20"/>
      <c r="AO27" s="21">
        <f t="shared" si="1"/>
        <v>0</v>
      </c>
      <c r="AP27" s="22">
        <f t="shared" si="2"/>
        <v>0</v>
      </c>
      <c r="AQ27" s="21">
        <f t="shared" si="3"/>
        <v>0</v>
      </c>
      <c r="AR27" s="1"/>
      <c r="AS27" s="1"/>
      <c r="AT27" s="1"/>
      <c r="AU27" s="1"/>
      <c r="AV27" s="7"/>
      <c r="AW27" s="24"/>
      <c r="AX27" s="24"/>
      <c r="AY27" s="24"/>
      <c r="AZ27" s="24"/>
      <c r="BA27" s="25"/>
      <c r="BB27" s="25"/>
      <c r="BC27" s="25"/>
      <c r="BD27" s="25"/>
      <c r="BE27" s="25"/>
      <c r="BF27" s="1"/>
      <c r="BG27" s="1"/>
      <c r="BH27" s="1"/>
      <c r="BI27" s="1"/>
      <c r="BJ27" s="1"/>
      <c r="BK27" s="1"/>
    </row>
    <row r="28" spans="1:63" ht="15" customHeight="1" x14ac:dyDescent="0.2">
      <c r="A28" s="1"/>
      <c r="B28" s="158" t="s">
        <v>37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146"/>
      <c r="P28" s="154">
        <f>SUM(P16:U27)</f>
        <v>0</v>
      </c>
      <c r="Q28" s="155"/>
      <c r="R28" s="155"/>
      <c r="S28" s="155"/>
      <c r="T28" s="155"/>
      <c r="U28" s="156"/>
      <c r="V28" s="157">
        <f>SUM(V16:Y27)</f>
        <v>0</v>
      </c>
      <c r="W28" s="155"/>
      <c r="X28" s="155"/>
      <c r="Y28" s="156"/>
      <c r="Z28" s="31" t="e">
        <f>SUM(Z16:Z27)</f>
        <v>#DIV/0!</v>
      </c>
      <c r="AA28" s="133"/>
      <c r="AB28" s="87"/>
      <c r="AC28" s="87"/>
      <c r="AD28" s="88"/>
      <c r="AE28" s="148" t="s">
        <v>38</v>
      </c>
      <c r="AF28" s="80"/>
      <c r="AG28" s="80"/>
      <c r="AH28" s="80"/>
      <c r="AI28" s="80"/>
      <c r="AJ28" s="80"/>
      <c r="AK28" s="80"/>
      <c r="AL28" s="75"/>
      <c r="AM28" s="19">
        <f>'คิดต้นทุน สรุป'!AM25</f>
        <v>0</v>
      </c>
      <c r="AN28" s="33">
        <f>SUM(AN21:AN27)</f>
        <v>0</v>
      </c>
      <c r="AO28" s="149">
        <f>+AE29*AP29</f>
        <v>96</v>
      </c>
      <c r="AP28" s="80"/>
      <c r="AQ28" s="75"/>
      <c r="AR28" s="1"/>
      <c r="AS28" s="1"/>
      <c r="AT28" s="1"/>
      <c r="AU28" s="1"/>
      <c r="AV28" s="34"/>
      <c r="AW28" s="34"/>
      <c r="AX28" s="26"/>
      <c r="AY28" s="26"/>
      <c r="AZ28" s="26"/>
      <c r="BA28" s="26"/>
      <c r="BB28" s="26"/>
      <c r="BC28" s="26"/>
      <c r="BD28" s="26"/>
      <c r="BE28" s="24"/>
      <c r="BF28" s="24"/>
      <c r="BG28" s="24"/>
      <c r="BH28" s="24"/>
      <c r="BI28" s="24"/>
      <c r="BJ28" s="25"/>
      <c r="BK28" s="25"/>
    </row>
    <row r="29" spans="1:63" ht="15" customHeight="1" x14ac:dyDescent="0.2">
      <c r="A29" s="1"/>
      <c r="B29" s="151" t="s">
        <v>65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75"/>
      <c r="AA29" s="152" t="s">
        <v>41</v>
      </c>
      <c r="AB29" s="80"/>
      <c r="AC29" s="80"/>
      <c r="AD29" s="75"/>
      <c r="AE29" s="153">
        <v>0.6</v>
      </c>
      <c r="AF29" s="105"/>
      <c r="AG29" s="105"/>
      <c r="AH29" s="104"/>
      <c r="AI29" s="145"/>
      <c r="AJ29" s="146"/>
      <c r="AK29" s="37"/>
      <c r="AL29" s="37"/>
      <c r="AM29" s="37"/>
      <c r="AN29" s="147" t="s">
        <v>42</v>
      </c>
      <c r="AO29" s="75"/>
      <c r="AP29" s="38">
        <v>160</v>
      </c>
      <c r="AQ29" s="39" t="str">
        <f>+T12</f>
        <v>แคปซูล</v>
      </c>
      <c r="AR29" s="1"/>
      <c r="AS29" s="1"/>
      <c r="AT29" s="1"/>
      <c r="AU29" s="1"/>
      <c r="AV29" s="34"/>
      <c r="AW29" s="34"/>
      <c r="AX29" s="26"/>
      <c r="AY29" s="26"/>
      <c r="AZ29" s="26"/>
      <c r="BA29" s="26"/>
      <c r="BB29" s="26"/>
      <c r="BC29" s="26"/>
      <c r="BD29" s="26"/>
      <c r="BE29" s="24"/>
      <c r="BF29" s="24"/>
      <c r="BG29" s="24"/>
      <c r="BH29" s="24"/>
      <c r="BI29" s="24"/>
      <c r="BJ29" s="25"/>
      <c r="BK29" s="25"/>
    </row>
    <row r="30" spans="1:63" ht="15" customHeight="1" x14ac:dyDescent="0.2">
      <c r="A30" s="26"/>
      <c r="B30" s="178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178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26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 spans="1:63" ht="1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</row>
    <row r="32" spans="1:63" ht="15" customHeight="1" x14ac:dyDescent="0.2">
      <c r="A32" s="26"/>
      <c r="B32" s="62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46"/>
      <c r="O32" s="26"/>
      <c r="P32" s="26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48"/>
      <c r="AP32" s="48"/>
      <c r="AQ32" s="7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</row>
    <row r="33" spans="1:63" ht="15" customHeight="1" x14ac:dyDescent="0.2">
      <c r="A33" s="26"/>
      <c r="B33" s="46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46"/>
      <c r="O33" s="26"/>
      <c r="P33" s="26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49"/>
      <c r="AP33" s="49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</row>
    <row r="34" spans="1:63" ht="15" customHeight="1" x14ac:dyDescent="0.2">
      <c r="A34" s="26"/>
      <c r="B34" s="46"/>
      <c r="C34" s="185"/>
      <c r="D34" s="186"/>
      <c r="E34" s="186"/>
      <c r="F34" s="186"/>
      <c r="G34" s="186"/>
      <c r="H34" s="186"/>
      <c r="I34" s="186"/>
      <c r="J34" s="186"/>
      <c r="K34" s="1" t="s">
        <v>66</v>
      </c>
      <c r="L34" s="53"/>
      <c r="M34" s="53"/>
      <c r="N34" s="46"/>
      <c r="O34" s="26"/>
      <c r="P34" s="2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6"/>
      <c r="AD34" s="26"/>
      <c r="AE34" s="26"/>
      <c r="AF34" s="26"/>
      <c r="AG34" s="26"/>
      <c r="AH34" s="26"/>
      <c r="AI34" s="165" t="s">
        <v>52</v>
      </c>
      <c r="AJ34" s="166"/>
      <c r="AK34" s="166"/>
      <c r="AL34" s="166"/>
      <c r="AM34" s="166"/>
      <c r="AN34" s="166"/>
      <c r="AO34" s="1" t="s">
        <v>53</v>
      </c>
      <c r="AP34" s="1"/>
      <c r="AQ34" s="48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</row>
    <row r="35" spans="1:63" ht="15" customHeight="1" x14ac:dyDescent="0.2">
      <c r="A35" s="26"/>
      <c r="B35" s="46"/>
      <c r="C35" s="187" t="s">
        <v>67</v>
      </c>
      <c r="D35" s="188"/>
      <c r="E35" s="188"/>
      <c r="F35" s="188"/>
      <c r="G35" s="188"/>
      <c r="H35" s="188"/>
      <c r="I35" s="188"/>
      <c r="J35" s="188"/>
      <c r="K35" s="1"/>
      <c r="L35" s="53"/>
      <c r="M35" s="53"/>
      <c r="N35" s="46"/>
      <c r="O35" s="50"/>
      <c r="P35" s="4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26"/>
      <c r="AD35" s="26"/>
      <c r="AE35" s="26"/>
      <c r="AF35" s="26"/>
      <c r="AG35" s="26"/>
      <c r="AH35" s="26"/>
      <c r="AI35" s="167">
        <f>AJ8</f>
        <v>45566</v>
      </c>
      <c r="AJ35" s="168"/>
      <c r="AK35" s="168"/>
      <c r="AL35" s="168"/>
      <c r="AM35" s="168"/>
      <c r="AN35" s="168"/>
      <c r="AO35" s="1"/>
      <c r="AP35" s="1"/>
      <c r="AQ35" s="48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</row>
    <row r="36" spans="1:63" ht="15" customHeight="1" x14ac:dyDescent="0.2">
      <c r="A36" s="26"/>
      <c r="B36" s="46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46"/>
      <c r="O36" s="51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52"/>
      <c r="AP36" s="52"/>
      <c r="AQ36" s="49"/>
      <c r="AR36" s="26"/>
      <c r="AS36" s="26"/>
      <c r="AT36" s="26"/>
      <c r="AU36" s="26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15" customHeight="1" x14ac:dyDescent="0.2">
      <c r="A37" s="26"/>
      <c r="B37" s="46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46"/>
      <c r="O37" s="26"/>
      <c r="P37" s="26"/>
      <c r="Q37" s="50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</row>
    <row r="38" spans="1:63" ht="27" customHeight="1" x14ac:dyDescent="0.2">
      <c r="A38" s="7"/>
      <c r="B38" s="179" t="s">
        <v>68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8"/>
      <c r="AR38" s="7"/>
      <c r="AS38" s="7"/>
      <c r="AT38" s="7"/>
      <c r="AU38" s="7"/>
      <c r="AV38" s="7"/>
      <c r="AW38" s="7"/>
      <c r="AX38" s="7"/>
      <c r="AY38" s="7"/>
      <c r="AZ38" s="7"/>
    </row>
    <row r="39" spans="1:63" ht="19.5" customHeight="1" x14ac:dyDescent="0.5">
      <c r="A39" s="63"/>
      <c r="B39" s="180">
        <v>1</v>
      </c>
      <c r="C39" s="88"/>
      <c r="D39" s="181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8"/>
      <c r="AR39" s="64"/>
      <c r="AS39" s="64"/>
      <c r="AT39" s="63"/>
      <c r="AU39" s="63"/>
      <c r="AV39" s="63"/>
      <c r="AW39" s="63"/>
      <c r="AX39" s="63"/>
      <c r="AY39" s="63"/>
      <c r="AZ39" s="63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</row>
    <row r="40" spans="1:63" ht="19.5" customHeight="1" x14ac:dyDescent="0.5">
      <c r="A40" s="63"/>
      <c r="B40" s="182"/>
      <c r="C40" s="117"/>
      <c r="D40" s="183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117"/>
      <c r="AR40" s="64"/>
      <c r="AS40" s="64"/>
      <c r="AT40" s="63"/>
      <c r="AU40" s="63"/>
      <c r="AV40" s="63"/>
      <c r="AW40" s="63"/>
      <c r="AX40" s="63"/>
      <c r="AY40" s="63"/>
      <c r="AZ40" s="63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</row>
    <row r="41" spans="1:63" ht="19.5" customHeight="1" x14ac:dyDescent="0.5">
      <c r="A41" s="63"/>
      <c r="B41" s="180">
        <v>2</v>
      </c>
      <c r="C41" s="88"/>
      <c r="D41" s="191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8"/>
      <c r="AR41" s="66"/>
      <c r="AS41" s="66"/>
      <c r="AT41" s="63"/>
      <c r="AU41" s="63"/>
      <c r="AV41" s="63"/>
      <c r="AW41" s="63"/>
      <c r="AX41" s="63"/>
      <c r="AY41" s="63"/>
      <c r="AZ41" s="63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</row>
    <row r="42" spans="1:63" ht="19.5" customHeight="1" x14ac:dyDescent="0.5">
      <c r="A42" s="63"/>
      <c r="B42" s="182"/>
      <c r="C42" s="117"/>
      <c r="D42" s="192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117"/>
      <c r="AR42" s="66"/>
      <c r="AS42" s="66"/>
      <c r="AT42" s="63"/>
      <c r="AU42" s="63"/>
      <c r="AV42" s="63"/>
      <c r="AW42" s="63"/>
      <c r="AX42" s="63"/>
      <c r="AY42" s="63"/>
      <c r="AZ42" s="63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</row>
    <row r="43" spans="1:63" ht="19.5" customHeight="1" x14ac:dyDescent="0.5">
      <c r="A43" s="63"/>
      <c r="B43" s="180">
        <v>3</v>
      </c>
      <c r="C43" s="88"/>
      <c r="D43" s="191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8"/>
      <c r="AR43" s="66"/>
      <c r="AS43" s="66"/>
      <c r="AT43" s="63"/>
      <c r="AU43" s="63"/>
      <c r="AV43" s="63"/>
      <c r="AW43" s="63"/>
      <c r="AX43" s="63"/>
      <c r="AY43" s="63"/>
      <c r="AZ43" s="63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</row>
    <row r="44" spans="1:63" ht="19.5" customHeight="1" x14ac:dyDescent="0.5">
      <c r="A44" s="63"/>
      <c r="B44" s="184"/>
      <c r="C44" s="91"/>
      <c r="D44" s="193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1"/>
      <c r="AR44" s="66"/>
      <c r="AS44" s="66"/>
      <c r="AT44" s="63"/>
      <c r="AU44" s="63"/>
      <c r="AV44" s="63"/>
      <c r="AW44" s="63"/>
      <c r="AX44" s="63"/>
      <c r="AY44" s="63"/>
      <c r="AZ44" s="63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</row>
    <row r="45" spans="1:63" ht="19.5" customHeight="1" x14ac:dyDescent="0.5">
      <c r="A45" s="63"/>
      <c r="B45" s="184">
        <v>4</v>
      </c>
      <c r="C45" s="91"/>
      <c r="D45" s="195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1"/>
      <c r="AR45" s="64"/>
      <c r="AS45" s="64"/>
      <c r="AT45" s="63"/>
      <c r="AU45" s="63"/>
      <c r="AV45" s="63"/>
      <c r="AW45" s="63"/>
      <c r="AX45" s="63"/>
      <c r="AY45" s="63"/>
      <c r="AZ45" s="63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</row>
    <row r="46" spans="1:63" ht="19.5" customHeight="1" x14ac:dyDescent="0.5">
      <c r="A46" s="63"/>
      <c r="B46" s="197">
        <v>5</v>
      </c>
      <c r="C46" s="75"/>
      <c r="D46" s="196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75"/>
      <c r="AR46" s="64"/>
      <c r="AS46" s="64"/>
      <c r="AT46" s="63"/>
      <c r="AU46" s="63"/>
      <c r="AV46" s="63"/>
      <c r="AW46" s="63"/>
      <c r="AX46" s="63"/>
      <c r="AY46" s="63"/>
      <c r="AZ46" s="63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</row>
    <row r="47" spans="1:63" ht="19.5" customHeight="1" x14ac:dyDescent="0.5">
      <c r="A47" s="63"/>
      <c r="B47" s="197">
        <v>6</v>
      </c>
      <c r="C47" s="75"/>
      <c r="D47" s="196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75"/>
      <c r="AR47" s="64"/>
      <c r="AS47" s="64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</row>
    <row r="48" spans="1:63" ht="15" customHeight="1" x14ac:dyDescent="0.2">
      <c r="A48" s="26"/>
      <c r="B48" s="26"/>
      <c r="C48" s="26"/>
      <c r="D48" s="26"/>
      <c r="E48" s="67"/>
      <c r="F48" s="67"/>
      <c r="G48" s="67"/>
      <c r="H48" s="67"/>
      <c r="I48" s="67"/>
      <c r="J48" s="67"/>
      <c r="K48" s="68"/>
      <c r="L48" s="68"/>
      <c r="M48" s="68"/>
      <c r="N48" s="69"/>
      <c r="O48" s="69"/>
      <c r="P48" s="69"/>
      <c r="Q48" s="69"/>
      <c r="R48" s="69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</row>
    <row r="49" spans="1:63" ht="15" customHeight="1" x14ac:dyDescent="0.2">
      <c r="A49" s="26"/>
      <c r="B49" s="189" t="s">
        <v>69</v>
      </c>
      <c r="C49" s="80"/>
      <c r="D49" s="80"/>
      <c r="E49" s="80"/>
      <c r="F49" s="80"/>
      <c r="G49" s="80"/>
      <c r="H49" s="80"/>
      <c r="I49" s="80"/>
      <c r="J49" s="80"/>
      <c r="K49" s="75"/>
      <c r="L49" s="1"/>
      <c r="M49" s="1"/>
      <c r="N49" s="1"/>
      <c r="O49" s="194" t="s">
        <v>70</v>
      </c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75"/>
      <c r="AA49" s="1"/>
      <c r="AB49" s="1"/>
      <c r="AC49" s="1"/>
      <c r="AD49" s="194" t="s">
        <v>71</v>
      </c>
      <c r="AE49" s="80"/>
      <c r="AF49" s="80"/>
      <c r="AG49" s="80"/>
      <c r="AH49" s="80"/>
      <c r="AI49" s="80"/>
      <c r="AJ49" s="80"/>
      <c r="AK49" s="80"/>
      <c r="AL49" s="80"/>
      <c r="AM49" s="75"/>
      <c r="AN49" s="1"/>
      <c r="AO49" s="194" t="s">
        <v>72</v>
      </c>
      <c r="AP49" s="80"/>
      <c r="AQ49" s="75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</row>
    <row r="50" spans="1:63" ht="15" customHeight="1" x14ac:dyDescent="0.2">
      <c r="A50" s="26"/>
      <c r="B50" s="190"/>
      <c r="C50" s="80"/>
      <c r="D50" s="80"/>
      <c r="E50" s="80"/>
      <c r="F50" s="80"/>
      <c r="G50" s="80"/>
      <c r="H50" s="80"/>
      <c r="I50" s="80"/>
      <c r="J50" s="80"/>
      <c r="K50" s="75"/>
      <c r="L50" s="1"/>
      <c r="M50" s="1"/>
      <c r="N50" s="1"/>
      <c r="O50" s="74" t="s">
        <v>73</v>
      </c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75"/>
      <c r="AA50" s="1"/>
      <c r="AB50" s="1"/>
      <c r="AC50" s="1"/>
      <c r="AD50" s="74" t="s">
        <v>74</v>
      </c>
      <c r="AE50" s="80"/>
      <c r="AF50" s="80"/>
      <c r="AG50" s="80"/>
      <c r="AH50" s="80"/>
      <c r="AI50" s="80"/>
      <c r="AJ50" s="80"/>
      <c r="AK50" s="80"/>
      <c r="AL50" s="80"/>
      <c r="AM50" s="75"/>
      <c r="AN50" s="1"/>
      <c r="AO50" s="74"/>
      <c r="AP50" s="80"/>
      <c r="AQ50" s="75"/>
      <c r="AR50" s="55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</row>
    <row r="51" spans="1:63" ht="1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36"/>
      <c r="P51" s="36"/>
      <c r="Q51" s="36"/>
      <c r="R51" s="36"/>
      <c r="S51" s="36"/>
      <c r="T51" s="36"/>
      <c r="U51" s="36"/>
      <c r="V51" s="36"/>
      <c r="W51" s="36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</row>
    <row r="52" spans="1:63" ht="12.75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44"/>
      <c r="L52" s="44"/>
      <c r="M52" s="44"/>
      <c r="N52" s="44"/>
      <c r="O52" s="44"/>
      <c r="P52" s="44"/>
      <c r="Q52" s="44"/>
      <c r="R52" s="44"/>
      <c r="S52" s="26"/>
      <c r="T52" s="26"/>
      <c r="U52" s="26"/>
      <c r="V52" s="26"/>
      <c r="W52" s="26"/>
      <c r="X52" s="44"/>
      <c r="Y52" s="44"/>
      <c r="Z52" s="44"/>
      <c r="AA52" s="44"/>
      <c r="AB52" s="44"/>
      <c r="AC52" s="44"/>
      <c r="AD52" s="44"/>
      <c r="AE52" s="44"/>
      <c r="AF52" s="56"/>
      <c r="AG52" s="56"/>
      <c r="AH52" s="56"/>
      <c r="AI52" s="56"/>
      <c r="AJ52" s="56"/>
      <c r="AK52" s="56"/>
      <c r="AL52" s="55"/>
      <c r="AM52" s="55"/>
      <c r="AN52" s="55"/>
      <c r="AO52" s="55"/>
      <c r="AP52" s="55"/>
      <c r="AQ52" s="55"/>
      <c r="AR52" s="55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 spans="1:63" ht="12.7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56"/>
      <c r="AG53" s="56"/>
      <c r="AH53" s="56"/>
      <c r="AI53" s="56"/>
      <c r="AJ53" s="56"/>
      <c r="AK53" s="56"/>
      <c r="AL53" s="55"/>
      <c r="AM53" s="55"/>
      <c r="AN53" s="55"/>
      <c r="AO53" s="55"/>
      <c r="AP53" s="55"/>
      <c r="AQ53" s="55"/>
      <c r="AR53" s="55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</row>
    <row r="54" spans="1:63" ht="12.7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56"/>
      <c r="AG54" s="56"/>
      <c r="AH54" s="56"/>
      <c r="AI54" s="56"/>
      <c r="AJ54" s="56"/>
      <c r="AK54" s="56"/>
      <c r="AL54" s="55"/>
      <c r="AM54" s="55"/>
      <c r="AN54" s="55"/>
      <c r="AO54" s="55"/>
      <c r="AP54" s="55"/>
      <c r="AQ54" s="55"/>
      <c r="AR54" s="55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</row>
    <row r="55" spans="1:63" ht="12.75" customHeight="1" x14ac:dyDescent="0.35">
      <c r="A55" s="26"/>
      <c r="B55" s="2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5"/>
      <c r="AI55" s="57"/>
      <c r="AJ55" s="57"/>
      <c r="AK55" s="57"/>
      <c r="AL55" s="57"/>
      <c r="AM55" s="57"/>
      <c r="AN55" s="57"/>
      <c r="AO55" s="57"/>
      <c r="AP55" s="57"/>
      <c r="AQ55" s="55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</row>
    <row r="56" spans="1:63" ht="12.75" customHeight="1" x14ac:dyDescent="0.2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5"/>
      <c r="AI56" s="5"/>
      <c r="AJ56" s="5"/>
      <c r="AK56" s="5"/>
      <c r="AL56" s="5"/>
      <c r="AM56" s="5"/>
      <c r="AN56" s="5"/>
      <c r="AO56" s="5"/>
      <c r="AP56" s="5"/>
      <c r="AQ56" s="55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</row>
    <row r="57" spans="1:63" ht="12.75" customHeight="1" x14ac:dyDescent="0.2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</row>
    <row r="58" spans="1:63" ht="12.75" customHeight="1" x14ac:dyDescent="0.2">
      <c r="A58" s="26"/>
      <c r="B58" s="26"/>
      <c r="C58" s="26"/>
      <c r="D58" s="58"/>
      <c r="E58" s="26"/>
      <c r="F58" s="26"/>
      <c r="G58" s="26"/>
      <c r="H58" s="59"/>
      <c r="I58" s="59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</row>
    <row r="59" spans="1:63" ht="12.7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 spans="1:63" ht="12.7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 spans="1:63" ht="12.7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</row>
    <row r="62" spans="1:63" ht="15" customHeight="1" x14ac:dyDescent="0.2">
      <c r="A62" s="26"/>
      <c r="B62" s="26"/>
      <c r="C62" s="26"/>
      <c r="D62" s="58"/>
      <c r="E62" s="26"/>
      <c r="F62" s="26"/>
      <c r="G62" s="26"/>
      <c r="H62" s="59"/>
      <c r="I62" s="59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 spans="1:63" ht="15" customHeight="1" x14ac:dyDescent="0.2">
      <c r="A63" s="26"/>
      <c r="B63" s="26"/>
      <c r="C63" s="26"/>
      <c r="D63" s="58"/>
      <c r="E63" s="26"/>
      <c r="F63" s="26"/>
      <c r="G63" s="26"/>
      <c r="H63" s="59"/>
      <c r="I63" s="59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</row>
    <row r="64" spans="1:63" ht="15" customHeight="1" x14ac:dyDescent="0.2">
      <c r="A64" s="26"/>
      <c r="B64" s="26"/>
      <c r="C64" s="26"/>
      <c r="D64" s="58"/>
      <c r="E64" s="26"/>
      <c r="F64" s="26"/>
      <c r="G64" s="26"/>
      <c r="H64" s="59"/>
      <c r="I64" s="59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</row>
    <row r="65" spans="1:63" ht="15" customHeight="1" x14ac:dyDescent="0.2">
      <c r="A65" s="1"/>
      <c r="B65" s="1"/>
      <c r="C65" s="34"/>
      <c r="D65" s="43"/>
      <c r="E65" s="34"/>
      <c r="F65" s="34"/>
      <c r="G65" s="34"/>
      <c r="H65" s="44"/>
      <c r="I65" s="4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 ht="15" customHeight="1" x14ac:dyDescent="0.2">
      <c r="A66" s="1"/>
      <c r="B66" s="1"/>
      <c r="C66" s="34"/>
      <c r="D66" s="43"/>
      <c r="E66" s="34"/>
      <c r="F66" s="34"/>
      <c r="G66" s="34"/>
      <c r="H66" s="44"/>
      <c r="I66" s="4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 ht="1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 t="s">
        <v>57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 ht="1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 ht="1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 ht="1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 ht="15" customHeight="1" x14ac:dyDescent="0.2">
      <c r="A71" s="1"/>
      <c r="B71" s="1"/>
      <c r="C71" s="34"/>
      <c r="D71" s="43"/>
      <c r="E71" s="34"/>
      <c r="F71" s="34"/>
      <c r="G71" s="34"/>
      <c r="H71" s="44"/>
      <c r="I71" s="4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15" customHeight="1" x14ac:dyDescent="0.2">
      <c r="A72" s="1"/>
      <c r="B72" s="1"/>
      <c r="C72" s="34"/>
      <c r="D72" s="43"/>
      <c r="E72" s="34"/>
      <c r="F72" s="34"/>
      <c r="G72" s="34"/>
      <c r="H72" s="44"/>
      <c r="I72" s="4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15" customHeight="1" x14ac:dyDescent="0.2">
      <c r="A73" s="1"/>
      <c r="B73" s="1"/>
      <c r="C73" s="34"/>
      <c r="D73" s="43"/>
      <c r="E73" s="34"/>
      <c r="F73" s="34"/>
      <c r="G73" s="34"/>
      <c r="H73" s="44"/>
      <c r="I73" s="4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15" customHeight="1" x14ac:dyDescent="0.2">
      <c r="A74" s="1"/>
      <c r="B74" s="1"/>
      <c r="C74" s="34"/>
      <c r="D74" s="43"/>
      <c r="E74" s="34"/>
      <c r="F74" s="34"/>
      <c r="G74" s="34"/>
      <c r="H74" s="44"/>
      <c r="I74" s="4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15" customHeight="1" x14ac:dyDescent="0.2">
      <c r="A75" s="1"/>
      <c r="B75" s="1"/>
      <c r="C75" s="34"/>
      <c r="D75" s="43"/>
      <c r="E75" s="34"/>
      <c r="F75" s="34"/>
      <c r="G75" s="34"/>
      <c r="H75" s="44"/>
      <c r="I75" s="4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15" customHeight="1" x14ac:dyDescent="0.2">
      <c r="A76" s="1"/>
      <c r="B76" s="1"/>
      <c r="C76" s="34"/>
      <c r="D76" s="43"/>
      <c r="E76" s="34"/>
      <c r="F76" s="34"/>
      <c r="G76" s="34"/>
      <c r="H76" s="44"/>
      <c r="I76" s="4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1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1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1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ht="1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ht="1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ht="1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ht="1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ht="1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1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1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1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1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1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1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1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1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1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1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1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1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1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1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1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1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1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1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 ht="1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 ht="1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 ht="1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 ht="1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 ht="1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 ht="1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 ht="1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 ht="1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 ht="1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 ht="1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 ht="1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 ht="1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 ht="1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 ht="1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 ht="1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 ht="1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 ht="1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 ht="1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 ht="1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 ht="1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 ht="1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 ht="1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 ht="1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 ht="1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 ht="1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 ht="1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 ht="1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 ht="1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 ht="1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 ht="1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 ht="1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 ht="1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 ht="1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 ht="1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 ht="1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 ht="1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 ht="1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 ht="1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 ht="1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 ht="1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 ht="1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 ht="1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 ht="1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 ht="1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 ht="1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 ht="1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t="1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 ht="1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 ht="1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 ht="1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 ht="1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 ht="1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 ht="1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 ht="1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 ht="1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 ht="1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 ht="1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 ht="1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 ht="1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 ht="17.25" customHeight="1" x14ac:dyDescent="0.2">
      <c r="A183" s="1"/>
      <c r="B183" s="1"/>
      <c r="C183" s="34"/>
      <c r="D183" s="43"/>
      <c r="E183" s="34"/>
      <c r="F183" s="34"/>
      <c r="G183" s="34"/>
      <c r="H183" s="44"/>
      <c r="I183" s="4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 ht="17.25" customHeight="1" x14ac:dyDescent="0.2">
      <c r="A184" s="1"/>
      <c r="B184" s="1"/>
      <c r="C184" s="34"/>
      <c r="D184" s="43"/>
      <c r="E184" s="34"/>
      <c r="F184" s="34"/>
      <c r="G184" s="34"/>
      <c r="H184" s="44"/>
      <c r="I184" s="4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 ht="17.25" customHeight="1" x14ac:dyDescent="0.2">
      <c r="A185" s="1"/>
      <c r="B185" s="1"/>
      <c r="C185" s="34"/>
      <c r="D185" s="43"/>
      <c r="E185" s="34"/>
      <c r="F185" s="34"/>
      <c r="G185" s="34"/>
      <c r="H185" s="44"/>
      <c r="I185" s="4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 ht="17.25" customHeight="1" x14ac:dyDescent="0.2">
      <c r="A186" s="1"/>
      <c r="B186" s="1"/>
      <c r="C186" s="34"/>
      <c r="D186" s="43"/>
      <c r="E186" s="34"/>
      <c r="F186" s="34"/>
      <c r="G186" s="34"/>
      <c r="H186" s="44"/>
      <c r="I186" s="4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 ht="17.25" customHeight="1" x14ac:dyDescent="0.2">
      <c r="A187" s="1"/>
      <c r="B187" s="1"/>
      <c r="C187" s="34"/>
      <c r="D187" s="43"/>
      <c r="E187" s="34"/>
      <c r="F187" s="34"/>
      <c r="G187" s="34"/>
      <c r="H187" s="44"/>
      <c r="I187" s="4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 ht="17.25" customHeight="1" x14ac:dyDescent="0.2">
      <c r="A188" s="1"/>
      <c r="B188" s="1"/>
      <c r="C188" s="34"/>
      <c r="D188" s="43"/>
      <c r="E188" s="34"/>
      <c r="F188" s="34"/>
      <c r="G188" s="34"/>
      <c r="H188" s="44"/>
      <c r="I188" s="4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 ht="17.25" customHeight="1" x14ac:dyDescent="0.2">
      <c r="A189" s="1"/>
      <c r="B189" s="1"/>
      <c r="C189" s="34"/>
      <c r="D189" s="43"/>
      <c r="E189" s="34"/>
      <c r="F189" s="34"/>
      <c r="G189" s="34"/>
      <c r="H189" s="44"/>
      <c r="I189" s="4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 ht="17.25" customHeight="1" x14ac:dyDescent="0.2">
      <c r="A190" s="1"/>
      <c r="B190" s="1"/>
      <c r="C190" s="34"/>
      <c r="D190" s="43"/>
      <c r="E190" s="34"/>
      <c r="F190" s="34"/>
      <c r="G190" s="34"/>
      <c r="H190" s="44"/>
      <c r="I190" s="4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 ht="17.25" customHeight="1" x14ac:dyDescent="0.2">
      <c r="A191" s="1"/>
      <c r="B191" s="1"/>
      <c r="C191" s="34"/>
      <c r="D191" s="43"/>
      <c r="E191" s="34"/>
      <c r="F191" s="34"/>
      <c r="G191" s="34"/>
      <c r="H191" s="44"/>
      <c r="I191" s="4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 ht="17.25" customHeight="1" x14ac:dyDescent="0.2">
      <c r="A192" s="1"/>
      <c r="B192" s="1"/>
      <c r="C192" s="34"/>
      <c r="D192" s="43"/>
      <c r="E192" s="34"/>
      <c r="F192" s="34"/>
      <c r="G192" s="34"/>
      <c r="H192" s="44"/>
      <c r="I192" s="4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 ht="17.25" customHeight="1" x14ac:dyDescent="0.2">
      <c r="A193" s="1"/>
      <c r="B193" s="1"/>
      <c r="C193" s="34"/>
      <c r="D193" s="43"/>
      <c r="E193" s="34"/>
      <c r="F193" s="34"/>
      <c r="G193" s="34"/>
      <c r="H193" s="44"/>
      <c r="I193" s="4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 ht="17.25" customHeight="1" x14ac:dyDescent="0.2">
      <c r="A194" s="1"/>
      <c r="B194" s="1"/>
      <c r="C194" s="34"/>
      <c r="D194" s="43"/>
      <c r="E194" s="34"/>
      <c r="F194" s="34"/>
      <c r="G194" s="34"/>
      <c r="H194" s="44"/>
      <c r="I194" s="4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 ht="17.25" customHeight="1" x14ac:dyDescent="0.2">
      <c r="A195" s="1"/>
      <c r="B195" s="1"/>
      <c r="C195" s="34"/>
      <c r="D195" s="43"/>
      <c r="E195" s="34"/>
      <c r="F195" s="34"/>
      <c r="G195" s="34"/>
      <c r="H195" s="44"/>
      <c r="I195" s="4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 ht="17.25" customHeight="1" x14ac:dyDescent="0.2">
      <c r="A196" s="1"/>
      <c r="B196" s="1"/>
      <c r="C196" s="34"/>
      <c r="D196" s="43"/>
      <c r="E196" s="34"/>
      <c r="F196" s="34"/>
      <c r="G196" s="34"/>
      <c r="H196" s="44"/>
      <c r="I196" s="4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 ht="17.25" customHeight="1" x14ac:dyDescent="0.2">
      <c r="A197" s="1"/>
      <c r="B197" s="1"/>
      <c r="C197" s="34"/>
      <c r="D197" s="43"/>
      <c r="E197" s="34"/>
      <c r="F197" s="34"/>
      <c r="G197" s="34"/>
      <c r="H197" s="44"/>
      <c r="I197" s="4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 ht="17.25" customHeight="1" x14ac:dyDescent="0.2">
      <c r="A198" s="1"/>
      <c r="B198" s="1"/>
      <c r="C198" s="34"/>
      <c r="D198" s="43"/>
      <c r="E198" s="34"/>
      <c r="F198" s="34"/>
      <c r="G198" s="34"/>
      <c r="H198" s="44"/>
      <c r="I198" s="4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spans="1:63" ht="17.25" customHeight="1" x14ac:dyDescent="0.2">
      <c r="A199" s="1"/>
      <c r="B199" s="1"/>
      <c r="C199" s="34"/>
      <c r="D199" s="43"/>
      <c r="E199" s="34"/>
      <c r="F199" s="34"/>
      <c r="G199" s="34"/>
      <c r="H199" s="44"/>
      <c r="I199" s="4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spans="1:63" ht="17.25" customHeight="1" x14ac:dyDescent="0.2">
      <c r="A200" s="1"/>
      <c r="B200" s="1"/>
      <c r="C200" s="34"/>
      <c r="D200" s="43"/>
      <c r="E200" s="34"/>
      <c r="F200" s="34"/>
      <c r="G200" s="34"/>
      <c r="H200" s="44"/>
      <c r="I200" s="4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spans="1:63" ht="17.25" customHeight="1" x14ac:dyDescent="0.2">
      <c r="A201" s="1"/>
      <c r="B201" s="1"/>
      <c r="C201" s="34"/>
      <c r="D201" s="43"/>
      <c r="E201" s="34"/>
      <c r="F201" s="34"/>
      <c r="G201" s="34"/>
      <c r="H201" s="44"/>
      <c r="I201" s="4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spans="1:63" ht="17.25" customHeight="1" x14ac:dyDescent="0.2">
      <c r="A202" s="1"/>
      <c r="B202" s="1"/>
      <c r="C202" s="34"/>
      <c r="D202" s="43"/>
      <c r="E202" s="34"/>
      <c r="F202" s="34"/>
      <c r="G202" s="34"/>
      <c r="H202" s="44"/>
      <c r="I202" s="4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spans="1:63" ht="17.25" customHeight="1" x14ac:dyDescent="0.2">
      <c r="A203" s="1"/>
      <c r="B203" s="1"/>
      <c r="C203" s="34"/>
      <c r="D203" s="43"/>
      <c r="E203" s="34"/>
      <c r="F203" s="34"/>
      <c r="G203" s="34"/>
      <c r="H203" s="44"/>
      <c r="I203" s="4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spans="1:63" ht="17.25" customHeight="1" x14ac:dyDescent="0.2">
      <c r="A204" s="1"/>
      <c r="B204" s="1"/>
      <c r="C204" s="34"/>
      <c r="D204" s="43"/>
      <c r="E204" s="34"/>
      <c r="F204" s="34"/>
      <c r="G204" s="34"/>
      <c r="H204" s="44"/>
      <c r="I204" s="4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spans="1:63" ht="17.25" customHeight="1" x14ac:dyDescent="0.2">
      <c r="A205" s="1"/>
      <c r="B205" s="1"/>
      <c r="C205" s="34"/>
      <c r="D205" s="43"/>
      <c r="E205" s="34"/>
      <c r="F205" s="34"/>
      <c r="G205" s="34"/>
      <c r="H205" s="44"/>
      <c r="I205" s="4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spans="1:63" ht="17.25" customHeight="1" x14ac:dyDescent="0.2">
      <c r="A206" s="1"/>
      <c r="B206" s="1"/>
      <c r="C206" s="34"/>
      <c r="D206" s="43"/>
      <c r="E206" s="34"/>
      <c r="F206" s="34"/>
      <c r="G206" s="34"/>
      <c r="H206" s="44"/>
      <c r="I206" s="4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spans="1:63" ht="17.25" customHeight="1" x14ac:dyDescent="0.2">
      <c r="A207" s="1"/>
      <c r="B207" s="1"/>
      <c r="C207" s="34"/>
      <c r="D207" s="43"/>
      <c r="E207" s="34"/>
      <c r="F207" s="34"/>
      <c r="G207" s="34"/>
      <c r="H207" s="44"/>
      <c r="I207" s="4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spans="1:63" ht="17.25" customHeight="1" x14ac:dyDescent="0.2">
      <c r="A208" s="1"/>
      <c r="B208" s="1"/>
      <c r="C208" s="34"/>
      <c r="D208" s="43"/>
      <c r="E208" s="34"/>
      <c r="F208" s="34"/>
      <c r="G208" s="34"/>
      <c r="H208" s="44"/>
      <c r="I208" s="4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spans="1:63" ht="17.25" customHeight="1" x14ac:dyDescent="0.2">
      <c r="A209" s="1"/>
      <c r="B209" s="1"/>
      <c r="C209" s="34"/>
      <c r="D209" s="43"/>
      <c r="E209" s="34"/>
      <c r="F209" s="34"/>
      <c r="G209" s="34"/>
      <c r="H209" s="44"/>
      <c r="I209" s="4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spans="1:63" ht="17.25" customHeight="1" x14ac:dyDescent="0.2">
      <c r="A210" s="1"/>
      <c r="B210" s="1"/>
      <c r="C210" s="34"/>
      <c r="D210" s="43"/>
      <c r="E210" s="34"/>
      <c r="F210" s="34"/>
      <c r="G210" s="34"/>
      <c r="H210" s="44"/>
      <c r="I210" s="4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spans="1:63" ht="17.25" customHeight="1" x14ac:dyDescent="0.2">
      <c r="A211" s="1"/>
      <c r="B211" s="1"/>
      <c r="C211" s="34"/>
      <c r="D211" s="43"/>
      <c r="E211" s="34"/>
      <c r="F211" s="34"/>
      <c r="G211" s="34"/>
      <c r="H211" s="44"/>
      <c r="I211" s="4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spans="1:63" ht="17.25" customHeight="1" x14ac:dyDescent="0.2">
      <c r="A212" s="1"/>
      <c r="B212" s="1"/>
      <c r="C212" s="34"/>
      <c r="D212" s="43"/>
      <c r="E212" s="34"/>
      <c r="F212" s="34"/>
      <c r="G212" s="34"/>
      <c r="H212" s="44"/>
      <c r="I212" s="4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spans="1:63" ht="17.25" customHeight="1" x14ac:dyDescent="0.2">
      <c r="A213" s="1"/>
      <c r="B213" s="1"/>
      <c r="C213" s="34"/>
      <c r="D213" s="43"/>
      <c r="E213" s="34"/>
      <c r="F213" s="34"/>
      <c r="G213" s="34"/>
      <c r="H213" s="44"/>
      <c r="I213" s="4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spans="1:63" ht="17.25" customHeight="1" x14ac:dyDescent="0.2">
      <c r="A214" s="1"/>
      <c r="B214" s="1"/>
      <c r="C214" s="34"/>
      <c r="D214" s="43"/>
      <c r="E214" s="34"/>
      <c r="F214" s="34"/>
      <c r="G214" s="34"/>
      <c r="H214" s="44"/>
      <c r="I214" s="4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spans="1:63" ht="17.25" customHeight="1" x14ac:dyDescent="0.2">
      <c r="A215" s="1"/>
      <c r="B215" s="1"/>
      <c r="C215" s="34"/>
      <c r="D215" s="43"/>
      <c r="E215" s="34"/>
      <c r="F215" s="34"/>
      <c r="G215" s="34"/>
      <c r="H215" s="44"/>
      <c r="I215" s="4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spans="1:63" ht="17.25" customHeight="1" x14ac:dyDescent="0.2">
      <c r="A216" s="1"/>
      <c r="B216" s="1"/>
      <c r="C216" s="34"/>
      <c r="D216" s="43"/>
      <c r="E216" s="34"/>
      <c r="F216" s="34"/>
      <c r="G216" s="34"/>
      <c r="H216" s="44"/>
      <c r="I216" s="4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spans="1:63" ht="17.25" customHeight="1" x14ac:dyDescent="0.2">
      <c r="A217" s="1"/>
      <c r="B217" s="1"/>
      <c r="C217" s="34"/>
      <c r="D217" s="43"/>
      <c r="E217" s="34"/>
      <c r="F217" s="34"/>
      <c r="G217" s="34"/>
      <c r="H217" s="44"/>
      <c r="I217" s="4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spans="1:63" ht="17.25" customHeight="1" x14ac:dyDescent="0.2">
      <c r="A218" s="1"/>
      <c r="B218" s="1"/>
      <c r="C218" s="34"/>
      <c r="D218" s="43"/>
      <c r="E218" s="34"/>
      <c r="F218" s="34"/>
      <c r="G218" s="34"/>
      <c r="H218" s="44"/>
      <c r="I218" s="4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spans="1:63" ht="17.25" customHeight="1" x14ac:dyDescent="0.2">
      <c r="A219" s="1"/>
      <c r="B219" s="1"/>
      <c r="C219" s="34"/>
      <c r="D219" s="43"/>
      <c r="E219" s="34"/>
      <c r="F219" s="34"/>
      <c r="G219" s="34"/>
      <c r="H219" s="44"/>
      <c r="I219" s="4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spans="1:63" ht="17.25" customHeight="1" x14ac:dyDescent="0.2">
      <c r="A220" s="1"/>
      <c r="B220" s="1"/>
      <c r="C220" s="34"/>
      <c r="D220" s="43"/>
      <c r="E220" s="34"/>
      <c r="F220" s="34"/>
      <c r="G220" s="34"/>
      <c r="H220" s="44"/>
      <c r="I220" s="4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spans="1:63" ht="17.25" customHeight="1" x14ac:dyDescent="0.2">
      <c r="A221" s="1"/>
      <c r="B221" s="1"/>
      <c r="C221" s="34"/>
      <c r="D221" s="43"/>
      <c r="E221" s="34"/>
      <c r="F221" s="34"/>
      <c r="G221" s="34"/>
      <c r="H221" s="44"/>
      <c r="I221" s="4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spans="1:63" ht="17.25" customHeight="1" x14ac:dyDescent="0.2">
      <c r="A222" s="1"/>
      <c r="B222" s="1"/>
      <c r="C222" s="34"/>
      <c r="D222" s="43"/>
      <c r="E222" s="34"/>
      <c r="F222" s="34"/>
      <c r="G222" s="34"/>
      <c r="H222" s="44"/>
      <c r="I222" s="4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spans="1:63" ht="17.25" customHeight="1" x14ac:dyDescent="0.2">
      <c r="A223" s="1"/>
      <c r="B223" s="1"/>
      <c r="C223" s="34"/>
      <c r="D223" s="43"/>
      <c r="E223" s="34"/>
      <c r="F223" s="34"/>
      <c r="G223" s="34"/>
      <c r="H223" s="44"/>
      <c r="I223" s="4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spans="1:63" ht="17.25" customHeight="1" x14ac:dyDescent="0.2">
      <c r="A224" s="1"/>
      <c r="B224" s="1"/>
      <c r="C224" s="34"/>
      <c r="D224" s="43"/>
      <c r="E224" s="34"/>
      <c r="F224" s="34"/>
      <c r="G224" s="34"/>
      <c r="H224" s="44"/>
      <c r="I224" s="4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spans="1:63" ht="17.25" customHeight="1" x14ac:dyDescent="0.2">
      <c r="A225" s="1"/>
      <c r="B225" s="1"/>
      <c r="C225" s="34"/>
      <c r="D225" s="43"/>
      <c r="E225" s="34"/>
      <c r="F225" s="34"/>
      <c r="G225" s="34"/>
      <c r="H225" s="44"/>
      <c r="I225" s="4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spans="1:63" ht="17.25" customHeight="1" x14ac:dyDescent="0.2">
      <c r="A226" s="1"/>
      <c r="B226" s="1"/>
      <c r="C226" s="34"/>
      <c r="D226" s="43"/>
      <c r="E226" s="34"/>
      <c r="F226" s="34"/>
      <c r="G226" s="34"/>
      <c r="H226" s="44"/>
      <c r="I226" s="4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spans="1:63" ht="17.25" customHeight="1" x14ac:dyDescent="0.2">
      <c r="A227" s="1"/>
      <c r="B227" s="1"/>
      <c r="C227" s="34"/>
      <c r="D227" s="43"/>
      <c r="E227" s="34"/>
      <c r="F227" s="34"/>
      <c r="G227" s="34"/>
      <c r="H227" s="44"/>
      <c r="I227" s="4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spans="1:63" ht="17.25" customHeight="1" x14ac:dyDescent="0.2">
      <c r="A228" s="1"/>
      <c r="B228" s="1"/>
      <c r="C228" s="34"/>
      <c r="D228" s="43"/>
      <c r="E228" s="34"/>
      <c r="F228" s="34"/>
      <c r="G228" s="34"/>
      <c r="H228" s="44"/>
      <c r="I228" s="4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spans="1:63" ht="17.25" customHeight="1" x14ac:dyDescent="0.2">
      <c r="A229" s="1"/>
      <c r="B229" s="1"/>
      <c r="C229" s="34"/>
      <c r="D229" s="43"/>
      <c r="E229" s="34"/>
      <c r="F229" s="34"/>
      <c r="G229" s="34"/>
      <c r="H229" s="44"/>
      <c r="I229" s="4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spans="1:63" ht="17.25" customHeight="1" x14ac:dyDescent="0.2">
      <c r="A230" s="1"/>
      <c r="B230" s="1"/>
      <c r="C230" s="34"/>
      <c r="D230" s="43"/>
      <c r="E230" s="34"/>
      <c r="F230" s="34"/>
      <c r="G230" s="34"/>
      <c r="H230" s="44"/>
      <c r="I230" s="4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spans="1:63" ht="17.25" customHeight="1" x14ac:dyDescent="0.2">
      <c r="A231" s="1"/>
      <c r="B231" s="1"/>
      <c r="C231" s="34"/>
      <c r="D231" s="43"/>
      <c r="E231" s="34"/>
      <c r="F231" s="34"/>
      <c r="G231" s="34"/>
      <c r="H231" s="44"/>
      <c r="I231" s="4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spans="1:63" ht="17.25" customHeight="1" x14ac:dyDescent="0.2">
      <c r="A232" s="1"/>
      <c r="B232" s="1"/>
      <c r="C232" s="34"/>
      <c r="D232" s="43"/>
      <c r="E232" s="34"/>
      <c r="F232" s="34"/>
      <c r="G232" s="34"/>
      <c r="H232" s="44"/>
      <c r="I232" s="4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spans="1:63" ht="17.25" customHeight="1" x14ac:dyDescent="0.2">
      <c r="A233" s="1"/>
      <c r="B233" s="1"/>
      <c r="C233" s="34"/>
      <c r="D233" s="43"/>
      <c r="E233" s="34"/>
      <c r="F233" s="34"/>
      <c r="G233" s="34"/>
      <c r="H233" s="44"/>
      <c r="I233" s="4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spans="1:63" ht="17.25" customHeight="1" x14ac:dyDescent="0.2">
      <c r="A234" s="1"/>
      <c r="B234" s="1"/>
      <c r="C234" s="34"/>
      <c r="D234" s="43"/>
      <c r="E234" s="34"/>
      <c r="F234" s="34"/>
      <c r="G234" s="34"/>
      <c r="H234" s="44"/>
      <c r="I234" s="4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spans="1:63" ht="17.25" customHeight="1" x14ac:dyDescent="0.2">
      <c r="A235" s="1"/>
      <c r="B235" s="1"/>
      <c r="C235" s="34"/>
      <c r="D235" s="43"/>
      <c r="E235" s="34"/>
      <c r="F235" s="34"/>
      <c r="G235" s="34"/>
      <c r="H235" s="44"/>
      <c r="I235" s="4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spans="1:63" ht="17.25" customHeight="1" x14ac:dyDescent="0.2">
      <c r="A236" s="1"/>
      <c r="B236" s="1"/>
      <c r="C236" s="34"/>
      <c r="D236" s="43"/>
      <c r="E236" s="34"/>
      <c r="F236" s="34"/>
      <c r="G236" s="34"/>
      <c r="H236" s="44"/>
      <c r="I236" s="4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spans="1:63" ht="17.25" customHeight="1" x14ac:dyDescent="0.2">
      <c r="A237" s="1"/>
      <c r="B237" s="1"/>
      <c r="C237" s="34"/>
      <c r="D237" s="43"/>
      <c r="E237" s="34"/>
      <c r="F237" s="34"/>
      <c r="G237" s="34"/>
      <c r="H237" s="44"/>
      <c r="I237" s="4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spans="1:63" ht="17.25" customHeight="1" x14ac:dyDescent="0.2">
      <c r="A238" s="1"/>
      <c r="B238" s="1"/>
      <c r="C238" s="34"/>
      <c r="D238" s="43"/>
      <c r="E238" s="34"/>
      <c r="F238" s="34"/>
      <c r="G238" s="34"/>
      <c r="H238" s="44"/>
      <c r="I238" s="4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spans="1:63" ht="17.25" customHeight="1" x14ac:dyDescent="0.2">
      <c r="A239" s="1"/>
      <c r="B239" s="1"/>
      <c r="C239" s="34"/>
      <c r="D239" s="43"/>
      <c r="E239" s="34"/>
      <c r="F239" s="34"/>
      <c r="G239" s="34"/>
      <c r="H239" s="44"/>
      <c r="I239" s="4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spans="1:63" ht="17.25" customHeight="1" x14ac:dyDescent="0.2">
      <c r="A240" s="1"/>
      <c r="B240" s="1"/>
      <c r="C240" s="34"/>
      <c r="D240" s="43"/>
      <c r="E240" s="34"/>
      <c r="F240" s="34"/>
      <c r="G240" s="34"/>
      <c r="H240" s="44"/>
      <c r="I240" s="4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spans="1:63" ht="17.25" customHeight="1" x14ac:dyDescent="0.2">
      <c r="A241" s="1"/>
      <c r="B241" s="1"/>
      <c r="C241" s="34"/>
      <c r="D241" s="43"/>
      <c r="E241" s="34"/>
      <c r="F241" s="34"/>
      <c r="G241" s="34"/>
      <c r="H241" s="44"/>
      <c r="I241" s="4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spans="1:63" ht="17.25" customHeight="1" x14ac:dyDescent="0.2">
      <c r="A242" s="1"/>
      <c r="B242" s="1"/>
      <c r="C242" s="34"/>
      <c r="D242" s="43"/>
      <c r="E242" s="34"/>
      <c r="F242" s="34"/>
      <c r="G242" s="34"/>
      <c r="H242" s="44"/>
      <c r="I242" s="4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spans="1:63" ht="17.25" customHeight="1" x14ac:dyDescent="0.2">
      <c r="A243" s="1"/>
      <c r="B243" s="1"/>
      <c r="C243" s="34"/>
      <c r="D243" s="43"/>
      <c r="E243" s="34"/>
      <c r="F243" s="34"/>
      <c r="G243" s="34"/>
      <c r="H243" s="44"/>
      <c r="I243" s="4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spans="1:63" ht="17.25" customHeight="1" x14ac:dyDescent="0.2">
      <c r="A244" s="1"/>
      <c r="B244" s="1"/>
      <c r="C244" s="34"/>
      <c r="D244" s="43"/>
      <c r="E244" s="34"/>
      <c r="F244" s="34"/>
      <c r="G244" s="34"/>
      <c r="H244" s="44"/>
      <c r="I244" s="4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spans="1:63" ht="17.25" customHeight="1" x14ac:dyDescent="0.2">
      <c r="A245" s="1"/>
      <c r="B245" s="1"/>
      <c r="C245" s="34"/>
      <c r="D245" s="43"/>
      <c r="E245" s="34"/>
      <c r="F245" s="34"/>
      <c r="G245" s="34"/>
      <c r="H245" s="44"/>
      <c r="I245" s="4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spans="1:63" ht="17.25" customHeight="1" x14ac:dyDescent="0.2">
      <c r="A246" s="1"/>
      <c r="B246" s="1"/>
      <c r="C246" s="34"/>
      <c r="D246" s="43"/>
      <c r="E246" s="34"/>
      <c r="F246" s="34"/>
      <c r="G246" s="34"/>
      <c r="H246" s="44"/>
      <c r="I246" s="4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spans="1:63" ht="17.25" customHeight="1" x14ac:dyDescent="0.2">
      <c r="A247" s="1"/>
      <c r="B247" s="1"/>
      <c r="C247" s="34"/>
      <c r="D247" s="43"/>
      <c r="E247" s="34"/>
      <c r="F247" s="34"/>
      <c r="G247" s="34"/>
      <c r="H247" s="44"/>
      <c r="I247" s="4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spans="1:63" ht="17.25" customHeight="1" x14ac:dyDescent="0.2">
      <c r="A248" s="1"/>
      <c r="B248" s="1"/>
      <c r="C248" s="34"/>
      <c r="D248" s="43"/>
      <c r="E248" s="34"/>
      <c r="F248" s="34"/>
      <c r="G248" s="34"/>
      <c r="H248" s="44"/>
      <c r="I248" s="4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ht="17.25" customHeight="1" x14ac:dyDescent="0.2">
      <c r="A249" s="1"/>
      <c r="B249" s="1"/>
      <c r="C249" s="34"/>
      <c r="D249" s="43"/>
      <c r="E249" s="34"/>
      <c r="F249" s="34"/>
      <c r="G249" s="34"/>
      <c r="H249" s="44"/>
      <c r="I249" s="4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ht="17.25" customHeight="1" x14ac:dyDescent="0.2">
      <c r="A250" s="1"/>
      <c r="B250" s="1"/>
      <c r="C250" s="34"/>
      <c r="D250" s="43"/>
      <c r="E250" s="34"/>
      <c r="F250" s="34"/>
      <c r="G250" s="34"/>
      <c r="H250" s="44"/>
      <c r="I250" s="4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ht="17.25" customHeight="1" x14ac:dyDescent="0.2">
      <c r="A251" s="1"/>
      <c r="B251" s="1"/>
      <c r="C251" s="34"/>
      <c r="D251" s="43"/>
      <c r="E251" s="34"/>
      <c r="F251" s="34"/>
      <c r="G251" s="34"/>
      <c r="H251" s="44"/>
      <c r="I251" s="4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spans="1:63" ht="17.25" customHeight="1" x14ac:dyDescent="0.2">
      <c r="A252" s="1"/>
      <c r="B252" s="1"/>
      <c r="C252" s="34"/>
      <c r="D252" s="43"/>
      <c r="E252" s="34"/>
      <c r="F252" s="34"/>
      <c r="G252" s="34"/>
      <c r="H252" s="44"/>
      <c r="I252" s="4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spans="1:63" ht="17.25" customHeight="1" x14ac:dyDescent="0.2">
      <c r="A253" s="1"/>
      <c r="B253" s="1"/>
      <c r="C253" s="34"/>
      <c r="D253" s="43"/>
      <c r="E253" s="34"/>
      <c r="F253" s="34"/>
      <c r="G253" s="34"/>
      <c r="H253" s="44"/>
      <c r="I253" s="4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spans="1:63" ht="17.25" customHeight="1" x14ac:dyDescent="0.2">
      <c r="A254" s="1"/>
      <c r="B254" s="1"/>
      <c r="C254" s="34"/>
      <c r="D254" s="43"/>
      <c r="E254" s="34"/>
      <c r="F254" s="34"/>
      <c r="G254" s="34"/>
      <c r="H254" s="44"/>
      <c r="I254" s="4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spans="1:63" ht="17.25" customHeight="1" x14ac:dyDescent="0.2">
      <c r="A255" s="1"/>
      <c r="B255" s="1"/>
      <c r="C255" s="34"/>
      <c r="D255" s="43"/>
      <c r="E255" s="34"/>
      <c r="F255" s="34"/>
      <c r="G255" s="34"/>
      <c r="H255" s="44"/>
      <c r="I255" s="4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spans="1:63" ht="17.25" customHeight="1" x14ac:dyDescent="0.2">
      <c r="A256" s="1"/>
      <c r="B256" s="1"/>
      <c r="C256" s="34"/>
      <c r="D256" s="43"/>
      <c r="E256" s="34"/>
      <c r="F256" s="34"/>
      <c r="G256" s="34"/>
      <c r="H256" s="44"/>
      <c r="I256" s="4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spans="1:63" ht="17.25" customHeight="1" x14ac:dyDescent="0.2">
      <c r="A257" s="1"/>
      <c r="B257" s="1"/>
      <c r="C257" s="34"/>
      <c r="D257" s="43"/>
      <c r="E257" s="34"/>
      <c r="F257" s="34"/>
      <c r="G257" s="34"/>
      <c r="H257" s="44"/>
      <c r="I257" s="4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spans="1:63" ht="17.25" customHeight="1" x14ac:dyDescent="0.2">
      <c r="A258" s="1"/>
      <c r="B258" s="1"/>
      <c r="C258" s="34"/>
      <c r="D258" s="43"/>
      <c r="E258" s="34"/>
      <c r="F258" s="34"/>
      <c r="G258" s="34"/>
      <c r="H258" s="44"/>
      <c r="I258" s="4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spans="1:63" ht="17.25" customHeight="1" x14ac:dyDescent="0.2">
      <c r="A259" s="1"/>
      <c r="B259" s="1"/>
      <c r="C259" s="34"/>
      <c r="D259" s="43"/>
      <c r="E259" s="34"/>
      <c r="F259" s="34"/>
      <c r="G259" s="34"/>
      <c r="H259" s="44"/>
      <c r="I259" s="4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spans="1:63" ht="17.25" customHeight="1" x14ac:dyDescent="0.2">
      <c r="A260" s="1"/>
      <c r="B260" s="1"/>
      <c r="C260" s="34"/>
      <c r="D260" s="43"/>
      <c r="E260" s="34"/>
      <c r="F260" s="34"/>
      <c r="G260" s="34"/>
      <c r="H260" s="44"/>
      <c r="I260" s="4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spans="1:63" ht="17.25" customHeight="1" x14ac:dyDescent="0.2">
      <c r="A261" s="1"/>
      <c r="B261" s="1"/>
      <c r="C261" s="34"/>
      <c r="D261" s="43"/>
      <c r="E261" s="34"/>
      <c r="F261" s="34"/>
      <c r="G261" s="34"/>
      <c r="H261" s="44"/>
      <c r="I261" s="4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spans="1:63" ht="17.25" customHeight="1" x14ac:dyDescent="0.2">
      <c r="A262" s="1"/>
      <c r="B262" s="1"/>
      <c r="C262" s="34"/>
      <c r="D262" s="43"/>
      <c r="E262" s="34"/>
      <c r="F262" s="34"/>
      <c r="G262" s="34"/>
      <c r="H262" s="44"/>
      <c r="I262" s="4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spans="1:63" ht="17.25" customHeight="1" x14ac:dyDescent="0.2">
      <c r="A263" s="1"/>
      <c r="B263" s="1"/>
      <c r="C263" s="34"/>
      <c r="D263" s="43"/>
      <c r="E263" s="34"/>
      <c r="F263" s="34"/>
      <c r="G263" s="34"/>
      <c r="H263" s="44"/>
      <c r="I263" s="4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spans="1:63" ht="17.25" customHeight="1" x14ac:dyDescent="0.2">
      <c r="A264" s="1"/>
      <c r="B264" s="1"/>
      <c r="C264" s="34"/>
      <c r="D264" s="43"/>
      <c r="E264" s="34"/>
      <c r="F264" s="34"/>
      <c r="G264" s="34"/>
      <c r="H264" s="44"/>
      <c r="I264" s="4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spans="1:63" ht="17.25" customHeight="1" x14ac:dyDescent="0.2">
      <c r="A265" s="1"/>
      <c r="B265" s="1"/>
      <c r="C265" s="34"/>
      <c r="D265" s="43"/>
      <c r="E265" s="34"/>
      <c r="F265" s="34"/>
      <c r="G265" s="34"/>
      <c r="H265" s="44"/>
      <c r="I265" s="4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spans="1:63" ht="17.25" customHeight="1" x14ac:dyDescent="0.2">
      <c r="A266" s="1"/>
      <c r="B266" s="1"/>
      <c r="C266" s="34"/>
      <c r="D266" s="43"/>
      <c r="E266" s="34"/>
      <c r="F266" s="34"/>
      <c r="G266" s="34"/>
      <c r="H266" s="44"/>
      <c r="I266" s="4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spans="1:63" ht="17.25" customHeight="1" x14ac:dyDescent="0.2">
      <c r="A267" s="1"/>
      <c r="B267" s="1"/>
      <c r="C267" s="34"/>
      <c r="D267" s="43"/>
      <c r="E267" s="34"/>
      <c r="F267" s="34"/>
      <c r="G267" s="34"/>
      <c r="H267" s="44"/>
      <c r="I267" s="4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spans="1:63" ht="15.75" customHeight="1" x14ac:dyDescent="0.2"/>
    <row r="269" spans="1:63" ht="15.75" customHeight="1" x14ac:dyDescent="0.2"/>
    <row r="270" spans="1:63" ht="15.75" customHeight="1" x14ac:dyDescent="0.2"/>
    <row r="271" spans="1:63" ht="15.75" customHeight="1" x14ac:dyDescent="0.2"/>
    <row r="272" spans="1:63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66">
    <mergeCell ref="AA24:AD24"/>
    <mergeCell ref="AE24:AH24"/>
    <mergeCell ref="AI24:AL24"/>
    <mergeCell ref="V25:Y25"/>
    <mergeCell ref="AI25:AL25"/>
    <mergeCell ref="AI20:AL20"/>
    <mergeCell ref="AE21:AH21"/>
    <mergeCell ref="AI21:AL21"/>
    <mergeCell ref="P23:U23"/>
    <mergeCell ref="V23:Y23"/>
    <mergeCell ref="AA23:AD23"/>
    <mergeCell ref="AE23:AH23"/>
    <mergeCell ref="AI23:AL23"/>
    <mergeCell ref="P19:U19"/>
    <mergeCell ref="P20:U20"/>
    <mergeCell ref="V20:Y20"/>
    <mergeCell ref="P21:U21"/>
    <mergeCell ref="V21:Y21"/>
    <mergeCell ref="P22:U22"/>
    <mergeCell ref="V22:Y22"/>
    <mergeCell ref="B46:C46"/>
    <mergeCell ref="B47:C47"/>
    <mergeCell ref="B30:O30"/>
    <mergeCell ref="D22:O22"/>
    <mergeCell ref="D23:O23"/>
    <mergeCell ref="D24:O24"/>
    <mergeCell ref="D25:O25"/>
    <mergeCell ref="D26:O26"/>
    <mergeCell ref="D27:O27"/>
    <mergeCell ref="B28:O28"/>
    <mergeCell ref="P24:U24"/>
    <mergeCell ref="V24:Y24"/>
    <mergeCell ref="B23:C23"/>
    <mergeCell ref="B24:C24"/>
    <mergeCell ref="B22:C22"/>
    <mergeCell ref="B49:K49"/>
    <mergeCell ref="B50:K50"/>
    <mergeCell ref="B41:C41"/>
    <mergeCell ref="D41:AQ41"/>
    <mergeCell ref="B42:C42"/>
    <mergeCell ref="D42:AQ42"/>
    <mergeCell ref="B43:C43"/>
    <mergeCell ref="D43:AQ43"/>
    <mergeCell ref="D44:AQ44"/>
    <mergeCell ref="AO49:AQ49"/>
    <mergeCell ref="AO50:AQ50"/>
    <mergeCell ref="D45:AQ45"/>
    <mergeCell ref="D46:AQ46"/>
    <mergeCell ref="D47:AQ47"/>
    <mergeCell ref="O49:Z49"/>
    <mergeCell ref="AD49:AM49"/>
    <mergeCell ref="O50:Z50"/>
    <mergeCell ref="AD50:AM50"/>
    <mergeCell ref="AI34:AN34"/>
    <mergeCell ref="AI35:AN35"/>
    <mergeCell ref="B38:AQ38"/>
    <mergeCell ref="B39:C39"/>
    <mergeCell ref="D39:AQ39"/>
    <mergeCell ref="B40:C40"/>
    <mergeCell ref="D40:AQ40"/>
    <mergeCell ref="B44:C44"/>
    <mergeCell ref="B45:C45"/>
    <mergeCell ref="C34:J34"/>
    <mergeCell ref="C35:J35"/>
    <mergeCell ref="AA29:AD29"/>
    <mergeCell ref="AE29:AH29"/>
    <mergeCell ref="AI29:AJ29"/>
    <mergeCell ref="AN29:AO29"/>
    <mergeCell ref="P30:AQ30"/>
    <mergeCell ref="AA25:AD25"/>
    <mergeCell ref="AE25:AH25"/>
    <mergeCell ref="AA26:AD26"/>
    <mergeCell ref="AE26:AH26"/>
    <mergeCell ref="AI26:AL26"/>
    <mergeCell ref="AE27:AH27"/>
    <mergeCell ref="AI27:AL27"/>
    <mergeCell ref="P25:U25"/>
    <mergeCell ref="P26:U26"/>
    <mergeCell ref="V26:Y26"/>
    <mergeCell ref="P27:U27"/>
    <mergeCell ref="V27:Y27"/>
    <mergeCell ref="P28:U28"/>
    <mergeCell ref="V28:Y28"/>
    <mergeCell ref="B29:Z29"/>
    <mergeCell ref="B25:C25"/>
    <mergeCell ref="B26:C26"/>
    <mergeCell ref="B27:C27"/>
    <mergeCell ref="P17:U17"/>
    <mergeCell ref="V17:Y17"/>
    <mergeCell ref="AA17:AD17"/>
    <mergeCell ref="AE17:AH17"/>
    <mergeCell ref="AI17:AL17"/>
    <mergeCell ref="AA27:AD27"/>
    <mergeCell ref="AA28:AD28"/>
    <mergeCell ref="AE28:AL28"/>
    <mergeCell ref="AO28:AQ28"/>
    <mergeCell ref="P18:U18"/>
    <mergeCell ref="V18:Y18"/>
    <mergeCell ref="AA18:AD18"/>
    <mergeCell ref="AE18:AH18"/>
    <mergeCell ref="AI18:AL18"/>
    <mergeCell ref="V19:Y19"/>
    <mergeCell ref="AI19:AL19"/>
    <mergeCell ref="AA21:AD21"/>
    <mergeCell ref="AA22:AD22"/>
    <mergeCell ref="AE22:AH22"/>
    <mergeCell ref="AI22:AL22"/>
    <mergeCell ref="AA19:AD19"/>
    <mergeCell ref="AE19:AH19"/>
    <mergeCell ref="AA20:AD20"/>
    <mergeCell ref="AE20:AH20"/>
    <mergeCell ref="P14:U14"/>
    <mergeCell ref="V14:Y14"/>
    <mergeCell ref="AA14:AD14"/>
    <mergeCell ref="AE14:AH14"/>
    <mergeCell ref="AI14:AL14"/>
    <mergeCell ref="AA16:AD16"/>
    <mergeCell ref="AE16:AH16"/>
    <mergeCell ref="P15:U15"/>
    <mergeCell ref="V15:Y15"/>
    <mergeCell ref="AA15:AD15"/>
    <mergeCell ref="AE15:AH15"/>
    <mergeCell ref="AI15:AL15"/>
    <mergeCell ref="P16:U16"/>
    <mergeCell ref="V16:Y16"/>
    <mergeCell ref="AI16:AL16"/>
    <mergeCell ref="I8:Y9"/>
    <mergeCell ref="Z8:AI9"/>
    <mergeCell ref="AJ8:AQ9"/>
    <mergeCell ref="B8:H9"/>
    <mergeCell ref="B10:H11"/>
    <mergeCell ref="I10:Y11"/>
    <mergeCell ref="Z10:AI11"/>
    <mergeCell ref="AJ10:AQ11"/>
    <mergeCell ref="I12:O13"/>
    <mergeCell ref="AC12:AQ13"/>
    <mergeCell ref="P12:S13"/>
    <mergeCell ref="T12:Y13"/>
    <mergeCell ref="B1:O1"/>
    <mergeCell ref="B2:U2"/>
    <mergeCell ref="V2:AJ2"/>
    <mergeCell ref="AK2:AQ2"/>
    <mergeCell ref="B3:U3"/>
    <mergeCell ref="V3:AQ3"/>
    <mergeCell ref="B5:AQ5"/>
    <mergeCell ref="B6:H7"/>
    <mergeCell ref="I6:Y7"/>
    <mergeCell ref="Z6:AI7"/>
    <mergeCell ref="AJ6:AQ7"/>
    <mergeCell ref="B18:C18"/>
    <mergeCell ref="D18:O18"/>
    <mergeCell ref="B19:C19"/>
    <mergeCell ref="D19:O19"/>
    <mergeCell ref="B20:C20"/>
    <mergeCell ref="D20:O20"/>
    <mergeCell ref="D21:O21"/>
    <mergeCell ref="B12:H13"/>
    <mergeCell ref="B14:C14"/>
    <mergeCell ref="D14:O14"/>
    <mergeCell ref="B15:C15"/>
    <mergeCell ref="D15:O15"/>
    <mergeCell ref="B16:C16"/>
    <mergeCell ref="D16:O16"/>
    <mergeCell ref="B21:C21"/>
    <mergeCell ref="B17:C17"/>
    <mergeCell ref="D17:O17"/>
  </mergeCells>
  <pageMargins left="0" right="0" top="0" bottom="0" header="0" footer="0"/>
  <pageSetup paperSize="9" orientation="portrait"/>
  <colBreaks count="1" manualBreakCount="1">
    <brk id="4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000"/>
  <sheetViews>
    <sheetView topLeftCell="A22" workbookViewId="0">
      <selection activeCell="Z50" sqref="Z50"/>
    </sheetView>
  </sheetViews>
  <sheetFormatPr defaultColWidth="14.42578125" defaultRowHeight="15" customHeight="1" x14ac:dyDescent="0.2"/>
  <cols>
    <col min="1" max="1" width="1.28515625" customWidth="1"/>
    <col min="2" max="3" width="2.28515625" customWidth="1"/>
    <col min="4" max="4" width="1.42578125" customWidth="1"/>
    <col min="5" max="5" width="2.42578125" customWidth="1"/>
    <col min="6" max="6" width="1.42578125" customWidth="1"/>
    <col min="7" max="7" width="3.42578125" customWidth="1"/>
    <col min="8" max="8" width="2.42578125" customWidth="1"/>
    <col min="9" max="9" width="3.42578125" customWidth="1"/>
    <col min="10" max="10" width="2.28515625" customWidth="1"/>
    <col min="11" max="11" width="4" customWidth="1"/>
    <col min="12" max="14" width="2.28515625" customWidth="1"/>
    <col min="15" max="15" width="2.42578125" customWidth="1"/>
    <col min="16" max="16" width="1.42578125" customWidth="1"/>
    <col min="17" max="17" width="1.5703125" customWidth="1"/>
    <col min="18" max="18" width="1.7109375" customWidth="1"/>
    <col min="19" max="19" width="1" customWidth="1"/>
    <col min="20" max="20" width="1.7109375" customWidth="1"/>
    <col min="21" max="21" width="0.85546875" customWidth="1"/>
    <col min="22" max="22" width="1.28515625" customWidth="1"/>
    <col min="23" max="23" width="1.7109375" customWidth="1"/>
    <col min="24" max="24" width="3.28515625" customWidth="1"/>
    <col min="25" max="25" width="1.28515625" customWidth="1"/>
    <col min="26" max="26" width="6.7109375" customWidth="1"/>
    <col min="27" max="29" width="1.7109375" customWidth="1"/>
    <col min="30" max="30" width="3.7109375" customWidth="1"/>
    <col min="31" max="34" width="1.7109375" customWidth="1"/>
    <col min="35" max="35" width="2.28515625" customWidth="1"/>
    <col min="36" max="36" width="2.42578125" customWidth="1"/>
    <col min="37" max="37" width="1.28515625" customWidth="1"/>
    <col min="38" max="38" width="2.28515625" customWidth="1"/>
    <col min="39" max="39" width="9.28515625" customWidth="1"/>
    <col min="40" max="40" width="8" customWidth="1"/>
    <col min="41" max="41" width="8.85546875" customWidth="1"/>
    <col min="42" max="42" width="6.85546875" customWidth="1"/>
    <col min="43" max="43" width="8.28515625" customWidth="1"/>
    <col min="44" max="45" width="5.7109375" customWidth="1"/>
    <col min="46" max="48" width="2.7109375" customWidth="1"/>
    <col min="49" max="49" width="12.5703125" customWidth="1"/>
    <col min="50" max="50" width="3.28515625" customWidth="1"/>
    <col min="51" max="51" width="6.28515625" customWidth="1"/>
    <col min="52" max="52" width="5.5703125" customWidth="1"/>
    <col min="53" max="53" width="2.7109375" customWidth="1"/>
    <col min="54" max="54" width="7.28515625" customWidth="1"/>
    <col min="55" max="63" width="2.7109375" customWidth="1"/>
  </cols>
  <sheetData>
    <row r="1" spans="1:63" ht="53.25" customHeight="1" x14ac:dyDescent="0.2">
      <c r="A1" s="1"/>
      <c r="B1" s="83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7.25" customHeight="1" x14ac:dyDescent="0.4">
      <c r="A2" s="2"/>
      <c r="B2" s="85" t="s">
        <v>75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75"/>
      <c r="V2" s="85" t="s">
        <v>76</v>
      </c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75"/>
      <c r="AK2" s="85" t="s">
        <v>77</v>
      </c>
      <c r="AL2" s="80"/>
      <c r="AM2" s="80"/>
      <c r="AN2" s="80"/>
      <c r="AO2" s="80"/>
      <c r="AP2" s="80"/>
      <c r="AQ2" s="75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7.25" customHeight="1" x14ac:dyDescent="0.4">
      <c r="A3" s="2"/>
      <c r="B3" s="85" t="s">
        <v>3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75"/>
      <c r="V3" s="85" t="s">
        <v>4</v>
      </c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75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ht="6.75" customHeight="1" x14ac:dyDescent="0.4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3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21" x14ac:dyDescent="0.4">
      <c r="A5" s="2"/>
      <c r="B5" s="107" t="s">
        <v>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75"/>
      <c r="AR5" s="2"/>
      <c r="AS5" s="2"/>
      <c r="AT5" s="2"/>
      <c r="AU5" s="2"/>
      <c r="AV5" s="2"/>
      <c r="AW5" s="2" t="s">
        <v>82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9.75" customHeight="1" x14ac:dyDescent="0.4">
      <c r="A6" s="1"/>
      <c r="B6" s="108" t="s">
        <v>6</v>
      </c>
      <c r="C6" s="109"/>
      <c r="D6" s="109"/>
      <c r="E6" s="109"/>
      <c r="F6" s="109"/>
      <c r="G6" s="109"/>
      <c r="H6" s="110"/>
      <c r="I6" s="112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8"/>
      <c r="Z6" s="113" t="s">
        <v>7</v>
      </c>
      <c r="AA6" s="109"/>
      <c r="AB6" s="109"/>
      <c r="AC6" s="109"/>
      <c r="AD6" s="109"/>
      <c r="AE6" s="109"/>
      <c r="AF6" s="109"/>
      <c r="AG6" s="109"/>
      <c r="AH6" s="109"/>
      <c r="AI6" s="114"/>
      <c r="AJ6" s="174"/>
      <c r="AK6" s="84"/>
      <c r="AL6" s="84"/>
      <c r="AM6" s="84"/>
      <c r="AN6" s="84"/>
      <c r="AO6" s="84"/>
      <c r="AP6" s="84"/>
      <c r="AQ6" s="117"/>
      <c r="AR6" s="5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2"/>
      <c r="BG6" s="2"/>
      <c r="BH6" s="2"/>
      <c r="BI6" s="2"/>
      <c r="BJ6" s="2"/>
      <c r="BK6" s="2"/>
    </row>
    <row r="7" spans="1:63" ht="9.75" customHeight="1" x14ac:dyDescent="0.2">
      <c r="A7" s="1"/>
      <c r="B7" s="89"/>
      <c r="C7" s="90"/>
      <c r="D7" s="90"/>
      <c r="E7" s="90"/>
      <c r="F7" s="90"/>
      <c r="G7" s="90"/>
      <c r="H7" s="111"/>
      <c r="I7" s="89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  <c r="Z7" s="115"/>
      <c r="AA7" s="90"/>
      <c r="AB7" s="90"/>
      <c r="AC7" s="90"/>
      <c r="AD7" s="90"/>
      <c r="AE7" s="90"/>
      <c r="AF7" s="90"/>
      <c r="AG7" s="90"/>
      <c r="AH7" s="90"/>
      <c r="AI7" s="91"/>
      <c r="AJ7" s="90"/>
      <c r="AK7" s="90"/>
      <c r="AL7" s="90"/>
      <c r="AM7" s="90"/>
      <c r="AN7" s="90"/>
      <c r="AO7" s="90"/>
      <c r="AP7" s="90"/>
      <c r="AQ7" s="91"/>
      <c r="AR7" s="5"/>
      <c r="AS7" s="1"/>
      <c r="AT7" s="1"/>
      <c r="AU7" s="5"/>
      <c r="AV7" s="5"/>
      <c r="AW7" s="5"/>
      <c r="AX7" s="5"/>
      <c r="AY7" s="5"/>
      <c r="AZ7" s="5"/>
      <c r="BA7" s="5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9.75" customHeight="1" x14ac:dyDescent="0.2">
      <c r="A8" s="1"/>
      <c r="B8" s="101" t="s">
        <v>8</v>
      </c>
      <c r="C8" s="87"/>
      <c r="D8" s="87"/>
      <c r="E8" s="87"/>
      <c r="F8" s="87"/>
      <c r="G8" s="87"/>
      <c r="H8" s="120"/>
      <c r="I8" s="112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  <c r="Z8" s="118" t="s">
        <v>9</v>
      </c>
      <c r="AA8" s="87"/>
      <c r="AB8" s="87"/>
      <c r="AC8" s="87"/>
      <c r="AD8" s="87"/>
      <c r="AE8" s="87"/>
      <c r="AF8" s="87"/>
      <c r="AG8" s="87"/>
      <c r="AH8" s="87"/>
      <c r="AI8" s="88"/>
      <c r="AJ8" s="119"/>
      <c r="AK8" s="87"/>
      <c r="AL8" s="87"/>
      <c r="AM8" s="87"/>
      <c r="AN8" s="87"/>
      <c r="AO8" s="87"/>
      <c r="AP8" s="87"/>
      <c r="AQ8" s="88"/>
      <c r="AR8" s="6"/>
      <c r="AS8" s="1"/>
      <c r="AT8" s="1"/>
      <c r="AU8" s="5"/>
      <c r="AV8" s="5"/>
      <c r="AW8" s="5"/>
      <c r="AX8" s="5"/>
      <c r="AY8" s="5"/>
      <c r="AZ8" s="5"/>
      <c r="BA8" s="5"/>
      <c r="BB8" s="5"/>
      <c r="BC8" s="1"/>
      <c r="BD8" s="1"/>
      <c r="BE8" s="1"/>
      <c r="BF8" s="1"/>
      <c r="BG8" s="1"/>
      <c r="BH8" s="1"/>
      <c r="BI8" s="1"/>
      <c r="BJ8" s="1"/>
      <c r="BK8" s="1"/>
    </row>
    <row r="9" spans="1:63" ht="9.75" customHeight="1" x14ac:dyDescent="0.2">
      <c r="A9" s="1"/>
      <c r="B9" s="89"/>
      <c r="C9" s="90"/>
      <c r="D9" s="90"/>
      <c r="E9" s="90"/>
      <c r="F9" s="90"/>
      <c r="G9" s="90"/>
      <c r="H9" s="111"/>
      <c r="I9" s="89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1"/>
      <c r="Z9" s="115"/>
      <c r="AA9" s="90"/>
      <c r="AB9" s="90"/>
      <c r="AC9" s="90"/>
      <c r="AD9" s="90"/>
      <c r="AE9" s="90"/>
      <c r="AF9" s="90"/>
      <c r="AG9" s="90"/>
      <c r="AH9" s="90"/>
      <c r="AI9" s="91"/>
      <c r="AJ9" s="90"/>
      <c r="AK9" s="90"/>
      <c r="AL9" s="90"/>
      <c r="AM9" s="90"/>
      <c r="AN9" s="90"/>
      <c r="AO9" s="90"/>
      <c r="AP9" s="90"/>
      <c r="AQ9" s="91"/>
      <c r="AR9" s="6"/>
      <c r="AS9" s="1"/>
      <c r="AT9" s="1"/>
      <c r="AU9" s="7"/>
      <c r="AV9" s="7"/>
      <c r="AW9" s="7"/>
      <c r="AX9" s="7"/>
      <c r="AY9" s="7"/>
      <c r="AZ9" s="8"/>
      <c r="BA9" s="8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9.75" customHeight="1" x14ac:dyDescent="0.2">
      <c r="A10" s="1"/>
      <c r="B10" s="101" t="s">
        <v>10</v>
      </c>
      <c r="C10" s="87"/>
      <c r="D10" s="87"/>
      <c r="E10" s="87"/>
      <c r="F10" s="87"/>
      <c r="G10" s="87"/>
      <c r="H10" s="120"/>
      <c r="I10" s="121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8"/>
      <c r="Z10" s="118" t="s">
        <v>11</v>
      </c>
      <c r="AA10" s="87"/>
      <c r="AB10" s="87"/>
      <c r="AC10" s="87"/>
      <c r="AD10" s="87"/>
      <c r="AE10" s="87"/>
      <c r="AF10" s="87"/>
      <c r="AG10" s="87"/>
      <c r="AH10" s="87"/>
      <c r="AI10" s="88"/>
      <c r="AJ10" s="122"/>
      <c r="AK10" s="87"/>
      <c r="AL10" s="87"/>
      <c r="AM10" s="87"/>
      <c r="AN10" s="87"/>
      <c r="AO10" s="87"/>
      <c r="AP10" s="87"/>
      <c r="AQ10" s="88"/>
      <c r="AR10" s="6"/>
      <c r="AS10" s="1"/>
      <c r="AT10" s="1"/>
      <c r="AU10" s="1"/>
      <c r="AV10" s="1"/>
      <c r="AW10" s="1"/>
      <c r="AX10" s="1"/>
      <c r="AY10" s="1"/>
      <c r="AZ10" s="1"/>
      <c r="BA10" s="1"/>
      <c r="BB10" s="5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9.75" customHeight="1" x14ac:dyDescent="0.2">
      <c r="A11" s="1"/>
      <c r="B11" s="89"/>
      <c r="C11" s="90"/>
      <c r="D11" s="90"/>
      <c r="E11" s="90"/>
      <c r="F11" s="90"/>
      <c r="G11" s="90"/>
      <c r="H11" s="111"/>
      <c r="I11" s="89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1"/>
      <c r="Z11" s="115"/>
      <c r="AA11" s="90"/>
      <c r="AB11" s="90"/>
      <c r="AC11" s="90"/>
      <c r="AD11" s="90"/>
      <c r="AE11" s="90"/>
      <c r="AF11" s="90"/>
      <c r="AG11" s="90"/>
      <c r="AH11" s="90"/>
      <c r="AI11" s="91"/>
      <c r="AJ11" s="90"/>
      <c r="AK11" s="90"/>
      <c r="AL11" s="90"/>
      <c r="AM11" s="90"/>
      <c r="AN11" s="90"/>
      <c r="AO11" s="90"/>
      <c r="AP11" s="90"/>
      <c r="AQ11" s="91"/>
      <c r="AR11" s="6"/>
      <c r="AS11" s="9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9.75" customHeight="1" x14ac:dyDescent="0.2">
      <c r="A12" s="1"/>
      <c r="B12" s="101" t="s">
        <v>13</v>
      </c>
      <c r="C12" s="87"/>
      <c r="D12" s="87"/>
      <c r="E12" s="87"/>
      <c r="F12" s="87"/>
      <c r="G12" s="87"/>
      <c r="H12" s="88"/>
      <c r="I12" s="123"/>
      <c r="J12" s="84"/>
      <c r="K12" s="84"/>
      <c r="L12" s="84"/>
      <c r="M12" s="84"/>
      <c r="N12" s="84"/>
      <c r="O12" s="117"/>
      <c r="P12" s="125" t="s">
        <v>14</v>
      </c>
      <c r="Q12" s="109"/>
      <c r="R12" s="109"/>
      <c r="S12" s="110"/>
      <c r="T12" s="121" t="s">
        <v>15</v>
      </c>
      <c r="U12" s="87"/>
      <c r="V12" s="87"/>
      <c r="W12" s="87"/>
      <c r="X12" s="87"/>
      <c r="Y12" s="88"/>
      <c r="Z12" s="5"/>
      <c r="AA12" s="5"/>
      <c r="AB12" s="5"/>
      <c r="AC12" s="12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117"/>
      <c r="AR12" s="6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9.75" customHeight="1" x14ac:dyDescent="0.2">
      <c r="A13" s="1"/>
      <c r="B13" s="89"/>
      <c r="C13" s="90"/>
      <c r="D13" s="90"/>
      <c r="E13" s="90"/>
      <c r="F13" s="90"/>
      <c r="G13" s="90"/>
      <c r="H13" s="91"/>
      <c r="I13" s="89"/>
      <c r="J13" s="90"/>
      <c r="K13" s="90"/>
      <c r="L13" s="90"/>
      <c r="M13" s="90"/>
      <c r="N13" s="90"/>
      <c r="O13" s="91"/>
      <c r="P13" s="89"/>
      <c r="Q13" s="90"/>
      <c r="R13" s="90"/>
      <c r="S13" s="111"/>
      <c r="T13" s="89"/>
      <c r="U13" s="90"/>
      <c r="V13" s="90"/>
      <c r="W13" s="90"/>
      <c r="X13" s="90"/>
      <c r="Y13" s="91"/>
      <c r="Z13" s="10"/>
      <c r="AA13" s="10"/>
      <c r="AB13" s="1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1"/>
      <c r="AR13" s="6"/>
      <c r="AS13" s="1"/>
      <c r="AT13" s="1"/>
      <c r="AU13" s="1"/>
      <c r="AV13" s="206"/>
      <c r="AW13" s="206"/>
      <c r="AX13" s="206"/>
      <c r="AY13" s="206"/>
      <c r="AZ13" s="206"/>
      <c r="BA13" s="206"/>
      <c r="BB13" s="206"/>
      <c r="BC13" s="206"/>
      <c r="BD13" s="206"/>
      <c r="BE13" s="1"/>
      <c r="BF13" s="1"/>
      <c r="BG13" s="1"/>
      <c r="BH13" s="1"/>
      <c r="BI13" s="1"/>
      <c r="BJ13" s="1"/>
      <c r="BK13" s="1"/>
    </row>
    <row r="14" spans="1:63" ht="12.75" customHeight="1" x14ac:dyDescent="0.2">
      <c r="A14" s="11"/>
      <c r="B14" s="92" t="s">
        <v>16</v>
      </c>
      <c r="C14" s="94"/>
      <c r="D14" s="92" t="s">
        <v>17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102"/>
      <c r="P14" s="92" t="s">
        <v>18</v>
      </c>
      <c r="Q14" s="93"/>
      <c r="R14" s="93"/>
      <c r="S14" s="93"/>
      <c r="T14" s="93"/>
      <c r="U14" s="94"/>
      <c r="V14" s="95" t="s">
        <v>19</v>
      </c>
      <c r="W14" s="96"/>
      <c r="X14" s="96"/>
      <c r="Y14" s="97"/>
      <c r="Z14" s="12" t="s">
        <v>20</v>
      </c>
      <c r="AA14" s="92" t="s">
        <v>21</v>
      </c>
      <c r="AB14" s="93"/>
      <c r="AC14" s="93"/>
      <c r="AD14" s="94"/>
      <c r="AE14" s="92" t="s">
        <v>22</v>
      </c>
      <c r="AF14" s="93"/>
      <c r="AG14" s="93"/>
      <c r="AH14" s="94"/>
      <c r="AI14" s="92" t="s">
        <v>23</v>
      </c>
      <c r="AJ14" s="93"/>
      <c r="AK14" s="93"/>
      <c r="AL14" s="94"/>
      <c r="AM14" s="13" t="s">
        <v>24</v>
      </c>
      <c r="AN14" s="13" t="s">
        <v>25</v>
      </c>
      <c r="AO14" s="12" t="s">
        <v>18</v>
      </c>
      <c r="AP14" s="12" t="s">
        <v>26</v>
      </c>
      <c r="AQ14" s="12" t="s">
        <v>27</v>
      </c>
      <c r="AR14" s="11"/>
      <c r="AS14" s="11"/>
      <c r="AT14" s="11"/>
      <c r="AU14" s="11"/>
      <c r="AV14" s="209"/>
      <c r="AW14" s="208"/>
      <c r="AX14" s="209"/>
      <c r="AY14" s="208"/>
      <c r="AZ14" s="208"/>
      <c r="BA14" s="209"/>
      <c r="BB14" s="209"/>
      <c r="BC14" s="209"/>
      <c r="BD14" s="209"/>
      <c r="BE14" s="11"/>
      <c r="BF14" s="11"/>
      <c r="BG14" s="11"/>
      <c r="BH14" s="11"/>
      <c r="BI14" s="11"/>
      <c r="BJ14" s="11"/>
      <c r="BK14" s="11"/>
    </row>
    <row r="15" spans="1:63" ht="12.75" customHeight="1" x14ac:dyDescent="0.2">
      <c r="A15" s="14"/>
      <c r="B15" s="103" t="s">
        <v>28</v>
      </c>
      <c r="C15" s="104"/>
      <c r="D15" s="103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6"/>
      <c r="P15" s="103" t="s">
        <v>29</v>
      </c>
      <c r="Q15" s="105"/>
      <c r="R15" s="105"/>
      <c r="S15" s="105"/>
      <c r="T15" s="105"/>
      <c r="U15" s="104"/>
      <c r="V15" s="103" t="s">
        <v>30</v>
      </c>
      <c r="W15" s="105"/>
      <c r="X15" s="105"/>
      <c r="Y15" s="104"/>
      <c r="Z15" s="15" t="s">
        <v>31</v>
      </c>
      <c r="AA15" s="103" t="s">
        <v>32</v>
      </c>
      <c r="AB15" s="105"/>
      <c r="AC15" s="105"/>
      <c r="AD15" s="104"/>
      <c r="AE15" s="103" t="s">
        <v>33</v>
      </c>
      <c r="AF15" s="105"/>
      <c r="AG15" s="105"/>
      <c r="AH15" s="104"/>
      <c r="AI15" s="103" t="s">
        <v>34</v>
      </c>
      <c r="AJ15" s="105"/>
      <c r="AK15" s="105"/>
      <c r="AL15" s="104"/>
      <c r="AM15" s="16" t="s">
        <v>35</v>
      </c>
      <c r="AN15" s="16"/>
      <c r="AO15" s="15" t="s">
        <v>36</v>
      </c>
      <c r="AP15" s="17"/>
      <c r="AQ15" s="17"/>
      <c r="AR15" s="14"/>
      <c r="AS15" s="14"/>
      <c r="AT15" s="14"/>
      <c r="AU15" s="14"/>
      <c r="AV15" s="211"/>
      <c r="AW15" s="210"/>
      <c r="AX15" s="211"/>
      <c r="AY15" s="212"/>
      <c r="AZ15" s="212"/>
      <c r="BA15" s="211"/>
      <c r="BB15" s="211"/>
      <c r="BC15" s="211"/>
      <c r="BD15" s="211"/>
      <c r="BE15" s="14"/>
      <c r="BF15" s="14"/>
      <c r="BG15" s="14"/>
      <c r="BH15" s="14"/>
      <c r="BI15" s="14"/>
      <c r="BJ15" s="14"/>
      <c r="BK15" s="14"/>
    </row>
    <row r="16" spans="1:63" ht="14.25" customHeight="1" x14ac:dyDescent="0.2">
      <c r="A16" s="14"/>
      <c r="B16" s="74">
        <v>1</v>
      </c>
      <c r="C16" s="75"/>
      <c r="D16" s="198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75"/>
      <c r="P16" s="136"/>
      <c r="Q16" s="80"/>
      <c r="R16" s="80"/>
      <c r="S16" s="80"/>
      <c r="T16" s="80"/>
      <c r="U16" s="75"/>
      <c r="V16" s="99">
        <f>SUM(P16*I12/1000000)</f>
        <v>0</v>
      </c>
      <c r="W16" s="80"/>
      <c r="X16" s="80"/>
      <c r="Y16" s="75"/>
      <c r="Z16" s="18" t="e">
        <f>P16*100/P36</f>
        <v>#DIV/0!</v>
      </c>
      <c r="AA16" s="126"/>
      <c r="AB16" s="80"/>
      <c r="AC16" s="80"/>
      <c r="AD16" s="75"/>
      <c r="AE16" s="127">
        <f t="shared" ref="AE16:AE35" si="0">SUM(AA16/1000000*P16)</f>
        <v>0</v>
      </c>
      <c r="AF16" s="80"/>
      <c r="AG16" s="80"/>
      <c r="AH16" s="75"/>
      <c r="AI16" s="74"/>
      <c r="AJ16" s="80"/>
      <c r="AK16" s="80"/>
      <c r="AL16" s="75"/>
      <c r="AM16" s="19"/>
      <c r="AN16" s="20"/>
      <c r="AO16" s="21">
        <f>+P16*AP39</f>
        <v>0</v>
      </c>
      <c r="AP16" s="22">
        <f t="shared" ref="AP16:AP35" si="1">+AO16/1000</f>
        <v>0</v>
      </c>
      <c r="AQ16" s="21">
        <f t="shared" ref="AQ16:AQ35" si="2">SUM(AA16/1000000*AO16)</f>
        <v>0</v>
      </c>
      <c r="AR16" s="14"/>
      <c r="AS16" s="14"/>
      <c r="AT16" s="14"/>
      <c r="AU16" s="14"/>
      <c r="AV16" s="211"/>
      <c r="AW16" s="210"/>
      <c r="AX16" s="211"/>
      <c r="AY16" s="210"/>
      <c r="AZ16" s="210"/>
      <c r="BA16" s="211"/>
      <c r="BB16" s="215"/>
      <c r="BC16" s="211"/>
      <c r="BD16" s="211"/>
      <c r="BE16" s="14"/>
      <c r="BF16" s="14"/>
      <c r="BG16" s="14"/>
      <c r="BH16" s="14"/>
      <c r="BI16" s="14"/>
      <c r="BJ16" s="14"/>
      <c r="BK16" s="14"/>
    </row>
    <row r="17" spans="1:63" ht="14.25" customHeight="1" x14ac:dyDescent="0.2">
      <c r="A17" s="1"/>
      <c r="B17" s="74">
        <v>2</v>
      </c>
      <c r="C17" s="75"/>
      <c r="D17" s="81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75"/>
      <c r="P17" s="134"/>
      <c r="Q17" s="80"/>
      <c r="R17" s="80"/>
      <c r="S17" s="80"/>
      <c r="T17" s="80"/>
      <c r="U17" s="75"/>
      <c r="V17" s="99">
        <f>SUM(P17*I12/1000000)</f>
        <v>0</v>
      </c>
      <c r="W17" s="80"/>
      <c r="X17" s="80"/>
      <c r="Y17" s="75"/>
      <c r="Z17" s="18" t="e">
        <f>P17*100/P36</f>
        <v>#DIV/0!</v>
      </c>
      <c r="AA17" s="126"/>
      <c r="AB17" s="80"/>
      <c r="AC17" s="80"/>
      <c r="AD17" s="75"/>
      <c r="AE17" s="127">
        <f t="shared" si="0"/>
        <v>0</v>
      </c>
      <c r="AF17" s="80"/>
      <c r="AG17" s="80"/>
      <c r="AH17" s="75"/>
      <c r="AI17" s="74"/>
      <c r="AJ17" s="80"/>
      <c r="AK17" s="80"/>
      <c r="AL17" s="75"/>
      <c r="AM17" s="19"/>
      <c r="AN17" s="20"/>
      <c r="AO17" s="21">
        <f>+P17*AP39</f>
        <v>0</v>
      </c>
      <c r="AP17" s="22">
        <f t="shared" si="1"/>
        <v>0</v>
      </c>
      <c r="AQ17" s="21">
        <f t="shared" si="2"/>
        <v>0</v>
      </c>
      <c r="AR17" s="23"/>
      <c r="AS17" s="1"/>
      <c r="AT17" s="1"/>
      <c r="AU17" s="1"/>
      <c r="AV17" s="206"/>
      <c r="AW17" s="213"/>
      <c r="AX17" s="214"/>
      <c r="AY17" s="210"/>
      <c r="AZ17" s="213"/>
      <c r="BA17" s="206"/>
      <c r="BB17" s="215"/>
      <c r="BC17" s="206"/>
      <c r="BD17" s="206"/>
      <c r="BE17" s="1"/>
      <c r="BF17" s="1"/>
      <c r="BG17" s="1"/>
      <c r="BH17" s="1"/>
      <c r="BI17" s="1"/>
      <c r="BJ17" s="1"/>
      <c r="BK17" s="1"/>
    </row>
    <row r="18" spans="1:63" ht="14.25" customHeight="1" x14ac:dyDescent="0.2">
      <c r="A18" s="14"/>
      <c r="B18" s="74">
        <v>3</v>
      </c>
      <c r="C18" s="75"/>
      <c r="D18" s="81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75"/>
      <c r="P18" s="134"/>
      <c r="Q18" s="80"/>
      <c r="R18" s="80"/>
      <c r="S18" s="80"/>
      <c r="T18" s="80"/>
      <c r="U18" s="75"/>
      <c r="V18" s="99">
        <f>SUM(P18*I12/1000000)</f>
        <v>0</v>
      </c>
      <c r="W18" s="80"/>
      <c r="X18" s="80"/>
      <c r="Y18" s="75"/>
      <c r="Z18" s="18" t="e">
        <f>P18*100/P36</f>
        <v>#DIV/0!</v>
      </c>
      <c r="AA18" s="126"/>
      <c r="AB18" s="80"/>
      <c r="AC18" s="80"/>
      <c r="AD18" s="75"/>
      <c r="AE18" s="127">
        <f t="shared" si="0"/>
        <v>0</v>
      </c>
      <c r="AF18" s="80"/>
      <c r="AG18" s="80"/>
      <c r="AH18" s="75"/>
      <c r="AI18" s="74"/>
      <c r="AJ18" s="80"/>
      <c r="AK18" s="80"/>
      <c r="AL18" s="75"/>
      <c r="AM18" s="19"/>
      <c r="AN18" s="20"/>
      <c r="AO18" s="21">
        <f>+P18*AP39</f>
        <v>0</v>
      </c>
      <c r="AP18" s="22">
        <f t="shared" si="1"/>
        <v>0</v>
      </c>
      <c r="AQ18" s="21">
        <f t="shared" si="2"/>
        <v>0</v>
      </c>
      <c r="AR18" s="14"/>
      <c r="AS18" s="14"/>
      <c r="AT18" s="14"/>
      <c r="AU18" s="14"/>
      <c r="AV18" s="211"/>
      <c r="AW18" s="210"/>
      <c r="AX18" s="211"/>
      <c r="AY18" s="210"/>
      <c r="AZ18" s="210"/>
      <c r="BA18" s="211"/>
      <c r="BB18" s="215"/>
      <c r="BC18" s="211"/>
      <c r="BD18" s="211"/>
      <c r="BE18" s="14"/>
      <c r="BF18" s="14"/>
      <c r="BG18" s="14"/>
      <c r="BH18" s="14"/>
      <c r="BI18" s="14"/>
      <c r="BJ18" s="14"/>
      <c r="BK18" s="14"/>
    </row>
    <row r="19" spans="1:63" ht="14.25" customHeight="1" x14ac:dyDescent="0.2">
      <c r="A19" s="1"/>
      <c r="B19" s="74">
        <v>4</v>
      </c>
      <c r="C19" s="75"/>
      <c r="D19" s="8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75"/>
      <c r="P19" s="136"/>
      <c r="Q19" s="80"/>
      <c r="R19" s="80"/>
      <c r="S19" s="80"/>
      <c r="T19" s="80"/>
      <c r="U19" s="75"/>
      <c r="V19" s="99">
        <f>SUM(P19*I12/1000000)</f>
        <v>0</v>
      </c>
      <c r="W19" s="80"/>
      <c r="X19" s="80"/>
      <c r="Y19" s="75"/>
      <c r="Z19" s="30" t="e">
        <f>P19*100/P36</f>
        <v>#DIV/0!</v>
      </c>
      <c r="AA19" s="132"/>
      <c r="AB19" s="87"/>
      <c r="AC19" s="87"/>
      <c r="AD19" s="88"/>
      <c r="AE19" s="127">
        <f t="shared" si="0"/>
        <v>0</v>
      </c>
      <c r="AF19" s="80"/>
      <c r="AG19" s="80"/>
      <c r="AH19" s="75"/>
      <c r="AI19" s="74"/>
      <c r="AJ19" s="80"/>
      <c r="AK19" s="80"/>
      <c r="AL19" s="75"/>
      <c r="AM19" s="19"/>
      <c r="AN19" s="20"/>
      <c r="AO19" s="21">
        <f>+P19*AP39</f>
        <v>0</v>
      </c>
      <c r="AP19" s="22">
        <f t="shared" si="1"/>
        <v>0</v>
      </c>
      <c r="AQ19" s="21">
        <f t="shared" si="2"/>
        <v>0</v>
      </c>
      <c r="AR19" s="23"/>
      <c r="AS19" s="1"/>
      <c r="AT19" s="1"/>
      <c r="AU19" s="1"/>
      <c r="AV19" s="206"/>
      <c r="AW19" s="213"/>
      <c r="AX19" s="214"/>
      <c r="AY19" s="210"/>
      <c r="AZ19" s="213"/>
      <c r="BA19" s="216"/>
      <c r="BB19" s="215"/>
      <c r="BC19" s="216"/>
      <c r="BD19" s="216"/>
      <c r="BE19" s="25"/>
      <c r="BF19" s="1"/>
      <c r="BG19" s="1"/>
      <c r="BH19" s="1"/>
      <c r="BI19" s="1"/>
      <c r="BJ19" s="1"/>
      <c r="BK19" s="1"/>
    </row>
    <row r="20" spans="1:63" ht="14.25" customHeight="1" x14ac:dyDescent="0.2">
      <c r="A20" s="14"/>
      <c r="B20" s="74">
        <v>5</v>
      </c>
      <c r="C20" s="75"/>
      <c r="D20" s="81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75"/>
      <c r="P20" s="136"/>
      <c r="Q20" s="80"/>
      <c r="R20" s="80"/>
      <c r="S20" s="80"/>
      <c r="T20" s="80"/>
      <c r="U20" s="75"/>
      <c r="V20" s="99">
        <f>SUM(P20*I12/1000000)</f>
        <v>0</v>
      </c>
      <c r="W20" s="80"/>
      <c r="X20" s="80"/>
      <c r="Y20" s="75"/>
      <c r="Z20" s="18" t="e">
        <f>P20*100/P36</f>
        <v>#DIV/0!</v>
      </c>
      <c r="AA20" s="126"/>
      <c r="AB20" s="80"/>
      <c r="AC20" s="80"/>
      <c r="AD20" s="75"/>
      <c r="AE20" s="127">
        <f t="shared" si="0"/>
        <v>0</v>
      </c>
      <c r="AF20" s="80"/>
      <c r="AG20" s="80"/>
      <c r="AH20" s="75"/>
      <c r="AI20" s="74"/>
      <c r="AJ20" s="80"/>
      <c r="AK20" s="80"/>
      <c r="AL20" s="75"/>
      <c r="AM20" s="19"/>
      <c r="AN20" s="20"/>
      <c r="AO20" s="21">
        <f>+P20*AP39</f>
        <v>0</v>
      </c>
      <c r="AP20" s="22">
        <f t="shared" si="1"/>
        <v>0</v>
      </c>
      <c r="AQ20" s="21">
        <f t="shared" si="2"/>
        <v>0</v>
      </c>
      <c r="AR20" s="14"/>
      <c r="AS20" s="14"/>
      <c r="AT20" s="14"/>
      <c r="AU20" s="14"/>
      <c r="AV20" s="211"/>
      <c r="AW20" s="210"/>
      <c r="AX20" s="211"/>
      <c r="AY20" s="210"/>
      <c r="AZ20" s="210"/>
      <c r="BA20" s="211"/>
      <c r="BB20" s="215"/>
      <c r="BC20" s="211"/>
      <c r="BD20" s="211"/>
      <c r="BE20" s="14"/>
      <c r="BF20" s="14"/>
      <c r="BG20" s="14"/>
      <c r="BH20" s="14"/>
      <c r="BI20" s="14"/>
      <c r="BJ20" s="14"/>
      <c r="BK20" s="14"/>
    </row>
    <row r="21" spans="1:63" ht="14.25" customHeight="1" x14ac:dyDescent="0.2">
      <c r="A21" s="1"/>
      <c r="B21" s="74">
        <v>6</v>
      </c>
      <c r="C21" s="75"/>
      <c r="D21" s="81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75"/>
      <c r="P21" s="136"/>
      <c r="Q21" s="80"/>
      <c r="R21" s="80"/>
      <c r="S21" s="80"/>
      <c r="T21" s="80"/>
      <c r="U21" s="75"/>
      <c r="V21" s="99">
        <f>SUM(P21*I12/1000000)</f>
        <v>0</v>
      </c>
      <c r="W21" s="80"/>
      <c r="X21" s="80"/>
      <c r="Y21" s="75"/>
      <c r="Z21" s="18" t="e">
        <f>P21*100/P36</f>
        <v>#DIV/0!</v>
      </c>
      <c r="AA21" s="126"/>
      <c r="AB21" s="80"/>
      <c r="AC21" s="80"/>
      <c r="AD21" s="75"/>
      <c r="AE21" s="127">
        <f t="shared" si="0"/>
        <v>0</v>
      </c>
      <c r="AF21" s="80"/>
      <c r="AG21" s="80"/>
      <c r="AH21" s="75"/>
      <c r="AI21" s="74"/>
      <c r="AJ21" s="80"/>
      <c r="AK21" s="80"/>
      <c r="AL21" s="75"/>
      <c r="AM21" s="19"/>
      <c r="AN21" s="20"/>
      <c r="AO21" s="21">
        <f>+P21*AP39</f>
        <v>0</v>
      </c>
      <c r="AP21" s="22">
        <f t="shared" si="1"/>
        <v>0</v>
      </c>
      <c r="AQ21" s="21">
        <f t="shared" si="2"/>
        <v>0</v>
      </c>
      <c r="AR21" s="1"/>
      <c r="AS21" s="1"/>
      <c r="AT21" s="1"/>
      <c r="AU21" s="1"/>
      <c r="AV21" s="220"/>
      <c r="AW21" s="213"/>
      <c r="AX21" s="214"/>
      <c r="AY21" s="210"/>
      <c r="AZ21" s="213"/>
      <c r="BA21" s="216"/>
      <c r="BB21" s="215"/>
      <c r="BC21" s="216"/>
      <c r="BD21" s="216"/>
      <c r="BE21" s="25"/>
      <c r="BF21" s="1"/>
      <c r="BG21" s="1"/>
      <c r="BH21" s="1"/>
      <c r="BI21" s="1"/>
      <c r="BJ21" s="1"/>
      <c r="BK21" s="1"/>
    </row>
    <row r="22" spans="1:63" ht="14.25" customHeight="1" x14ac:dyDescent="0.2">
      <c r="A22" s="14"/>
      <c r="B22" s="74">
        <v>7</v>
      </c>
      <c r="C22" s="75"/>
      <c r="D22" s="81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75"/>
      <c r="P22" s="126"/>
      <c r="Q22" s="80"/>
      <c r="R22" s="80"/>
      <c r="S22" s="80"/>
      <c r="T22" s="80"/>
      <c r="U22" s="75"/>
      <c r="V22" s="99">
        <f>SUM(P22*I12/1000000)</f>
        <v>0</v>
      </c>
      <c r="W22" s="80"/>
      <c r="X22" s="80"/>
      <c r="Y22" s="75"/>
      <c r="Z22" s="18" t="e">
        <f>P22*100/P36</f>
        <v>#DIV/0!</v>
      </c>
      <c r="AA22" s="132"/>
      <c r="AB22" s="87"/>
      <c r="AC22" s="87"/>
      <c r="AD22" s="88"/>
      <c r="AE22" s="127">
        <f t="shared" si="0"/>
        <v>0</v>
      </c>
      <c r="AF22" s="80"/>
      <c r="AG22" s="80"/>
      <c r="AH22" s="75"/>
      <c r="AI22" s="74"/>
      <c r="AJ22" s="80"/>
      <c r="AK22" s="80"/>
      <c r="AL22" s="75"/>
      <c r="AM22" s="29"/>
      <c r="AN22" s="20"/>
      <c r="AO22" s="21">
        <f>+P22*AP39</f>
        <v>0</v>
      </c>
      <c r="AP22" s="22">
        <f t="shared" si="1"/>
        <v>0</v>
      </c>
      <c r="AQ22" s="21">
        <f t="shared" si="2"/>
        <v>0</v>
      </c>
      <c r="AR22" s="70"/>
      <c r="AS22" s="1"/>
      <c r="AT22" s="14"/>
      <c r="AU22" s="14"/>
      <c r="AV22" s="211"/>
      <c r="AW22" s="210"/>
      <c r="AX22" s="211"/>
      <c r="AY22" s="210"/>
      <c r="AZ22" s="210"/>
      <c r="BA22" s="211"/>
      <c r="BB22" s="215"/>
      <c r="BC22" s="211"/>
      <c r="BD22" s="211"/>
      <c r="BE22" s="14"/>
      <c r="BF22" s="14"/>
      <c r="BG22" s="14"/>
      <c r="BH22" s="14"/>
      <c r="BI22" s="14"/>
      <c r="BJ22" s="14"/>
      <c r="BK22" s="14"/>
    </row>
    <row r="23" spans="1:63" ht="14.25" customHeight="1" x14ac:dyDescent="0.2">
      <c r="A23" s="1"/>
      <c r="B23" s="74">
        <v>8</v>
      </c>
      <c r="C23" s="75"/>
      <c r="D23" s="81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75"/>
      <c r="P23" s="132"/>
      <c r="Q23" s="87"/>
      <c r="R23" s="87"/>
      <c r="S23" s="87"/>
      <c r="T23" s="87"/>
      <c r="U23" s="88"/>
      <c r="V23" s="99">
        <f>SUM(P23*I12/1000000)</f>
        <v>0</v>
      </c>
      <c r="W23" s="80"/>
      <c r="X23" s="80"/>
      <c r="Y23" s="75"/>
      <c r="Z23" s="18" t="e">
        <f>P23*100/P36</f>
        <v>#DIV/0!</v>
      </c>
      <c r="AA23" s="126"/>
      <c r="AB23" s="80"/>
      <c r="AC23" s="80"/>
      <c r="AD23" s="75"/>
      <c r="AE23" s="127">
        <f t="shared" si="0"/>
        <v>0</v>
      </c>
      <c r="AF23" s="80"/>
      <c r="AG23" s="80"/>
      <c r="AH23" s="75"/>
      <c r="AI23" s="74"/>
      <c r="AJ23" s="80"/>
      <c r="AK23" s="80"/>
      <c r="AL23" s="75"/>
      <c r="AM23" s="28"/>
      <c r="AN23" s="20"/>
      <c r="AO23" s="21">
        <f>+P23*AP39</f>
        <v>0</v>
      </c>
      <c r="AP23" s="22">
        <f t="shared" si="1"/>
        <v>0</v>
      </c>
      <c r="AQ23" s="21">
        <f t="shared" si="2"/>
        <v>0</v>
      </c>
      <c r="AR23" s="71"/>
      <c r="AS23" s="1"/>
      <c r="AT23" s="1"/>
      <c r="AU23" s="1"/>
      <c r="AV23" s="206"/>
      <c r="AW23" s="214"/>
      <c r="AX23" s="214"/>
      <c r="AY23" s="214"/>
      <c r="AZ23" s="214"/>
      <c r="BA23" s="206"/>
      <c r="BB23" s="206"/>
      <c r="BC23" s="206"/>
      <c r="BD23" s="206"/>
      <c r="BE23" s="1"/>
      <c r="BF23" s="1"/>
      <c r="BG23" s="1"/>
      <c r="BH23" s="1"/>
      <c r="BI23" s="1"/>
      <c r="BJ23" s="1"/>
      <c r="BK23" s="1"/>
    </row>
    <row r="24" spans="1:63" ht="14.25" customHeight="1" x14ac:dyDescent="0.2">
      <c r="A24" s="1"/>
      <c r="B24" s="74">
        <v>9</v>
      </c>
      <c r="C24" s="75"/>
      <c r="D24" s="81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75"/>
      <c r="P24" s="136"/>
      <c r="Q24" s="80"/>
      <c r="R24" s="80"/>
      <c r="S24" s="80"/>
      <c r="T24" s="80"/>
      <c r="U24" s="75"/>
      <c r="V24" s="99">
        <f>SUM(P24*I12/1000000)</f>
        <v>0</v>
      </c>
      <c r="W24" s="80"/>
      <c r="X24" s="80"/>
      <c r="Y24" s="75"/>
      <c r="Z24" s="18" t="e">
        <f>P24*100/P36</f>
        <v>#DIV/0!</v>
      </c>
      <c r="AA24" s="126"/>
      <c r="AB24" s="80"/>
      <c r="AC24" s="80"/>
      <c r="AD24" s="75"/>
      <c r="AE24" s="127">
        <f t="shared" si="0"/>
        <v>0</v>
      </c>
      <c r="AF24" s="80"/>
      <c r="AG24" s="80"/>
      <c r="AH24" s="75"/>
      <c r="AI24" s="74"/>
      <c r="AJ24" s="80"/>
      <c r="AK24" s="80"/>
      <c r="AL24" s="75"/>
      <c r="AM24" s="19"/>
      <c r="AN24" s="20"/>
      <c r="AO24" s="21">
        <f>+P24*AP39</f>
        <v>0</v>
      </c>
      <c r="AP24" s="22">
        <f t="shared" si="1"/>
        <v>0</v>
      </c>
      <c r="AQ24" s="21">
        <f t="shared" si="2"/>
        <v>0</v>
      </c>
      <c r="AR24" s="1"/>
      <c r="AS24" s="1"/>
      <c r="AT24" s="1"/>
      <c r="AU24" s="1"/>
      <c r="AV24" s="220"/>
      <c r="AW24" s="214"/>
      <c r="AX24" s="214"/>
      <c r="AY24" s="214"/>
      <c r="AZ24" s="214"/>
      <c r="BA24" s="216"/>
      <c r="BB24" s="216"/>
      <c r="BC24" s="216"/>
      <c r="BD24" s="216"/>
      <c r="BE24" s="25"/>
      <c r="BF24" s="1"/>
      <c r="BG24" s="1"/>
      <c r="BH24" s="1"/>
      <c r="BI24" s="1"/>
      <c r="BJ24" s="1"/>
      <c r="BK24" s="1"/>
    </row>
    <row r="25" spans="1:63" ht="14.25" customHeight="1" x14ac:dyDescent="0.2">
      <c r="A25" s="1"/>
      <c r="B25" s="74">
        <v>10</v>
      </c>
      <c r="C25" s="75"/>
      <c r="D25" s="81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75"/>
      <c r="P25" s="199"/>
      <c r="Q25" s="80"/>
      <c r="R25" s="80"/>
      <c r="S25" s="80"/>
      <c r="T25" s="80"/>
      <c r="U25" s="75"/>
      <c r="V25" s="99">
        <f>SUM(P25*I12/1000000)</f>
        <v>0</v>
      </c>
      <c r="W25" s="80"/>
      <c r="X25" s="80"/>
      <c r="Y25" s="75"/>
      <c r="Z25" s="18" t="e">
        <f>P25*100/P36</f>
        <v>#DIV/0!</v>
      </c>
      <c r="AA25" s="132"/>
      <c r="AB25" s="87"/>
      <c r="AC25" s="87"/>
      <c r="AD25" s="88"/>
      <c r="AE25" s="127">
        <f t="shared" si="0"/>
        <v>0</v>
      </c>
      <c r="AF25" s="80"/>
      <c r="AG25" s="80"/>
      <c r="AH25" s="75"/>
      <c r="AI25" s="74"/>
      <c r="AJ25" s="80"/>
      <c r="AK25" s="80"/>
      <c r="AL25" s="75"/>
      <c r="AM25" s="29"/>
      <c r="AN25" s="20"/>
      <c r="AO25" s="21">
        <f>+P25*AP39</f>
        <v>0</v>
      </c>
      <c r="AP25" s="22">
        <f t="shared" si="1"/>
        <v>0</v>
      </c>
      <c r="AQ25" s="21">
        <f t="shared" si="2"/>
        <v>0</v>
      </c>
      <c r="AR25" s="1"/>
      <c r="AS25" s="1"/>
      <c r="AT25" s="1"/>
      <c r="AU25" s="1"/>
      <c r="AV25" s="207"/>
      <c r="AW25" s="213"/>
      <c r="AX25" s="214"/>
      <c r="AY25" s="210"/>
      <c r="AZ25" s="213"/>
      <c r="BA25" s="216"/>
      <c r="BB25" s="215"/>
      <c r="BC25" s="216"/>
      <c r="BD25" s="216"/>
      <c r="BE25" s="25"/>
      <c r="BF25" s="1"/>
      <c r="BG25" s="1"/>
      <c r="BH25" s="1"/>
      <c r="BI25" s="1"/>
      <c r="BJ25" s="1"/>
      <c r="BK25" s="1"/>
    </row>
    <row r="26" spans="1:63" ht="14.25" customHeight="1" x14ac:dyDescent="0.2">
      <c r="A26" s="1"/>
      <c r="B26" s="74">
        <v>11</v>
      </c>
      <c r="C26" s="75"/>
      <c r="D26" s="81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75"/>
      <c r="P26" s="136"/>
      <c r="Q26" s="80"/>
      <c r="R26" s="80"/>
      <c r="S26" s="80"/>
      <c r="T26" s="80"/>
      <c r="U26" s="75"/>
      <c r="V26" s="99">
        <f>SUM(P26*I12/1000000)</f>
        <v>0</v>
      </c>
      <c r="W26" s="80"/>
      <c r="X26" s="80"/>
      <c r="Y26" s="75"/>
      <c r="Z26" s="18" t="e">
        <f>P26*100/P36</f>
        <v>#DIV/0!</v>
      </c>
      <c r="AA26" s="132"/>
      <c r="AB26" s="87"/>
      <c r="AC26" s="87"/>
      <c r="AD26" s="88"/>
      <c r="AE26" s="127">
        <f t="shared" si="0"/>
        <v>0</v>
      </c>
      <c r="AF26" s="80"/>
      <c r="AG26" s="80"/>
      <c r="AH26" s="75"/>
      <c r="AI26" s="74"/>
      <c r="AJ26" s="80"/>
      <c r="AK26" s="80"/>
      <c r="AL26" s="75"/>
      <c r="AM26" s="19"/>
      <c r="AN26" s="20"/>
      <c r="AO26" s="21">
        <f>+P26*AP39</f>
        <v>0</v>
      </c>
      <c r="AP26" s="22">
        <f t="shared" si="1"/>
        <v>0</v>
      </c>
      <c r="AQ26" s="21">
        <f t="shared" si="2"/>
        <v>0</v>
      </c>
      <c r="AR26" s="1"/>
      <c r="AS26" s="1"/>
      <c r="AT26" s="1"/>
      <c r="AU26" s="1"/>
      <c r="AV26" s="206"/>
      <c r="AW26" s="213"/>
      <c r="AX26" s="214"/>
      <c r="AY26" s="218"/>
      <c r="AZ26" s="213"/>
      <c r="BA26" s="216"/>
      <c r="BB26" s="219"/>
      <c r="BC26" s="216"/>
      <c r="BD26" s="216"/>
      <c r="BE26" s="25"/>
      <c r="BF26" s="1"/>
      <c r="BG26" s="1"/>
      <c r="BH26" s="1"/>
      <c r="BI26" s="1"/>
      <c r="BJ26" s="1"/>
      <c r="BK26" s="1"/>
    </row>
    <row r="27" spans="1:63" ht="14.25" customHeight="1" x14ac:dyDescent="0.2">
      <c r="A27" s="14"/>
      <c r="B27" s="74">
        <v>12</v>
      </c>
      <c r="C27" s="75"/>
      <c r="D27" s="81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75"/>
      <c r="P27" s="200"/>
      <c r="Q27" s="87"/>
      <c r="R27" s="87"/>
      <c r="S27" s="87"/>
      <c r="T27" s="87"/>
      <c r="U27" s="88"/>
      <c r="V27" s="99">
        <f>SUM(P27*I12/1000000)</f>
        <v>0</v>
      </c>
      <c r="W27" s="80"/>
      <c r="X27" s="80"/>
      <c r="Y27" s="75"/>
      <c r="Z27" s="27" t="e">
        <f>P27*100/P36</f>
        <v>#DIV/0!</v>
      </c>
      <c r="AA27" s="132"/>
      <c r="AB27" s="87"/>
      <c r="AC27" s="87"/>
      <c r="AD27" s="88"/>
      <c r="AE27" s="127">
        <f t="shared" si="0"/>
        <v>0</v>
      </c>
      <c r="AF27" s="80"/>
      <c r="AG27" s="80"/>
      <c r="AH27" s="75"/>
      <c r="AI27" s="74"/>
      <c r="AJ27" s="80"/>
      <c r="AK27" s="80"/>
      <c r="AL27" s="75"/>
      <c r="AM27" s="28"/>
      <c r="AN27" s="20"/>
      <c r="AO27" s="21">
        <f>+P27*AP39</f>
        <v>0</v>
      </c>
      <c r="AP27" s="22">
        <f t="shared" si="1"/>
        <v>0</v>
      </c>
      <c r="AQ27" s="21">
        <f t="shared" si="2"/>
        <v>0</v>
      </c>
      <c r="AR27" s="14"/>
      <c r="AS27" s="14"/>
      <c r="AT27" s="14"/>
      <c r="AU27" s="14"/>
      <c r="AV27" s="211"/>
      <c r="AW27" s="210"/>
      <c r="AX27" s="211"/>
      <c r="AY27" s="210"/>
      <c r="AZ27" s="210"/>
      <c r="BA27" s="211"/>
      <c r="BB27" s="215"/>
      <c r="BC27" s="211"/>
      <c r="BD27" s="211"/>
      <c r="BE27" s="14"/>
      <c r="BF27" s="14"/>
      <c r="BG27" s="14"/>
      <c r="BH27" s="14"/>
      <c r="BI27" s="14"/>
      <c r="BJ27" s="14"/>
      <c r="BK27" s="14"/>
    </row>
    <row r="28" spans="1:63" ht="14.25" customHeight="1" x14ac:dyDescent="0.2">
      <c r="A28" s="1"/>
      <c r="B28" s="74">
        <v>13</v>
      </c>
      <c r="C28" s="75"/>
      <c r="D28" s="81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75"/>
      <c r="P28" s="134"/>
      <c r="Q28" s="80"/>
      <c r="R28" s="80"/>
      <c r="S28" s="80"/>
      <c r="T28" s="80"/>
      <c r="U28" s="75"/>
      <c r="V28" s="99">
        <f>SUM(P28*I12/1000000)</f>
        <v>0</v>
      </c>
      <c r="W28" s="80"/>
      <c r="X28" s="80"/>
      <c r="Y28" s="75"/>
      <c r="Z28" s="18" t="e">
        <f>P28*100/P36</f>
        <v>#DIV/0!</v>
      </c>
      <c r="AA28" s="126"/>
      <c r="AB28" s="80"/>
      <c r="AC28" s="80"/>
      <c r="AD28" s="75"/>
      <c r="AE28" s="127">
        <f t="shared" si="0"/>
        <v>0</v>
      </c>
      <c r="AF28" s="80"/>
      <c r="AG28" s="80"/>
      <c r="AH28" s="75"/>
      <c r="AI28" s="74"/>
      <c r="AJ28" s="80"/>
      <c r="AK28" s="80"/>
      <c r="AL28" s="75"/>
      <c r="AM28" s="19"/>
      <c r="AN28" s="20"/>
      <c r="AO28" s="21">
        <f>+P28*AP39</f>
        <v>0</v>
      </c>
      <c r="AP28" s="22">
        <f t="shared" si="1"/>
        <v>0</v>
      </c>
      <c r="AQ28" s="21">
        <f t="shared" si="2"/>
        <v>0</v>
      </c>
      <c r="AR28" s="23"/>
      <c r="AS28" s="1"/>
      <c r="AT28" s="1"/>
      <c r="AU28" s="1"/>
      <c r="AV28" s="207"/>
      <c r="AW28" s="213"/>
      <c r="AX28" s="214"/>
      <c r="AY28" s="210"/>
      <c r="AZ28" s="213"/>
      <c r="BA28" s="216"/>
      <c r="BB28" s="215"/>
      <c r="BC28" s="216"/>
      <c r="BD28" s="216"/>
      <c r="BE28" s="25"/>
      <c r="BF28" s="1"/>
      <c r="BG28" s="1"/>
      <c r="BH28" s="1"/>
      <c r="BI28" s="1"/>
      <c r="BJ28" s="1"/>
      <c r="BK28" s="26"/>
    </row>
    <row r="29" spans="1:63" ht="14.25" customHeight="1" x14ac:dyDescent="0.2">
      <c r="A29" s="14"/>
      <c r="B29" s="74">
        <v>14</v>
      </c>
      <c r="C29" s="75"/>
      <c r="D29" s="81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75"/>
      <c r="P29" s="126"/>
      <c r="Q29" s="80"/>
      <c r="R29" s="80"/>
      <c r="S29" s="80"/>
      <c r="T29" s="80"/>
      <c r="U29" s="75"/>
      <c r="V29" s="99">
        <f>SUM(P29*I12/1000000)</f>
        <v>0</v>
      </c>
      <c r="W29" s="80"/>
      <c r="X29" s="80"/>
      <c r="Y29" s="75"/>
      <c r="Z29" s="27" t="e">
        <f>P29*100/P36</f>
        <v>#DIV/0!</v>
      </c>
      <c r="AA29" s="126"/>
      <c r="AB29" s="80"/>
      <c r="AC29" s="80"/>
      <c r="AD29" s="75"/>
      <c r="AE29" s="127">
        <f t="shared" si="0"/>
        <v>0</v>
      </c>
      <c r="AF29" s="80"/>
      <c r="AG29" s="80"/>
      <c r="AH29" s="75"/>
      <c r="AI29" s="74"/>
      <c r="AJ29" s="80"/>
      <c r="AK29" s="80"/>
      <c r="AL29" s="75"/>
      <c r="AM29" s="28"/>
      <c r="AN29" s="20"/>
      <c r="AO29" s="21">
        <f>+P29*AP39</f>
        <v>0</v>
      </c>
      <c r="AP29" s="22">
        <f t="shared" si="1"/>
        <v>0</v>
      </c>
      <c r="AQ29" s="21">
        <f t="shared" si="2"/>
        <v>0</v>
      </c>
      <c r="AR29" s="14"/>
      <c r="AS29" s="14"/>
      <c r="AT29" s="14"/>
      <c r="AU29" s="14"/>
      <c r="AV29" s="211"/>
      <c r="AW29" s="210"/>
      <c r="AX29" s="211"/>
      <c r="AY29" s="210"/>
      <c r="AZ29" s="210"/>
      <c r="BA29" s="211"/>
      <c r="BB29" s="215"/>
      <c r="BC29" s="211"/>
      <c r="BD29" s="211"/>
      <c r="BE29" s="14"/>
      <c r="BF29" s="14"/>
      <c r="BG29" s="14"/>
      <c r="BH29" s="14"/>
      <c r="BI29" s="14"/>
      <c r="BJ29" s="14"/>
      <c r="BK29" s="14"/>
    </row>
    <row r="30" spans="1:63" ht="14.25" customHeight="1" x14ac:dyDescent="0.2">
      <c r="A30" s="14"/>
      <c r="B30" s="74">
        <v>15</v>
      </c>
      <c r="C30" s="75"/>
      <c r="D30" s="81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75"/>
      <c r="P30" s="132"/>
      <c r="Q30" s="87"/>
      <c r="R30" s="87"/>
      <c r="S30" s="87"/>
      <c r="T30" s="87"/>
      <c r="U30" s="88"/>
      <c r="V30" s="99">
        <f>SUM(P30*I12/1000000)</f>
        <v>0</v>
      </c>
      <c r="W30" s="80"/>
      <c r="X30" s="80"/>
      <c r="Y30" s="75"/>
      <c r="Z30" s="27" t="e">
        <f>P30*100/P36</f>
        <v>#DIV/0!</v>
      </c>
      <c r="AA30" s="132"/>
      <c r="AB30" s="87"/>
      <c r="AC30" s="87"/>
      <c r="AD30" s="88"/>
      <c r="AE30" s="127">
        <f t="shared" si="0"/>
        <v>0</v>
      </c>
      <c r="AF30" s="80"/>
      <c r="AG30" s="80"/>
      <c r="AH30" s="75"/>
      <c r="AI30" s="74"/>
      <c r="AJ30" s="80"/>
      <c r="AK30" s="80"/>
      <c r="AL30" s="75"/>
      <c r="AM30" s="28"/>
      <c r="AN30" s="20"/>
      <c r="AO30" s="21">
        <f>+P30*AP39</f>
        <v>0</v>
      </c>
      <c r="AP30" s="22">
        <f t="shared" si="1"/>
        <v>0</v>
      </c>
      <c r="AQ30" s="21">
        <f t="shared" si="2"/>
        <v>0</v>
      </c>
      <c r="AR30" s="14"/>
      <c r="AS30" s="14"/>
      <c r="AT30" s="14"/>
      <c r="AU30" s="14"/>
      <c r="AV30" s="211"/>
      <c r="AW30" s="210"/>
      <c r="AX30" s="211"/>
      <c r="AY30" s="210"/>
      <c r="AZ30" s="210"/>
      <c r="BA30" s="211"/>
      <c r="BB30" s="215"/>
      <c r="BC30" s="211"/>
      <c r="BD30" s="211"/>
      <c r="BE30" s="14"/>
      <c r="BF30" s="14"/>
      <c r="BG30" s="14"/>
      <c r="BH30" s="14"/>
      <c r="BI30" s="14"/>
      <c r="BJ30" s="14"/>
      <c r="BK30" s="14"/>
    </row>
    <row r="31" spans="1:63" ht="14.25" customHeight="1" x14ac:dyDescent="0.2">
      <c r="A31" s="14"/>
      <c r="B31" s="74">
        <v>16</v>
      </c>
      <c r="C31" s="75"/>
      <c r="D31" s="198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75"/>
      <c r="P31" s="136"/>
      <c r="Q31" s="80"/>
      <c r="R31" s="80"/>
      <c r="S31" s="80"/>
      <c r="T31" s="80"/>
      <c r="U31" s="75"/>
      <c r="V31" s="99">
        <f>SUM(P31*I12/1000000)</f>
        <v>0</v>
      </c>
      <c r="W31" s="80"/>
      <c r="X31" s="80"/>
      <c r="Y31" s="75"/>
      <c r="Z31" s="18" t="e">
        <f>P31*100/P36</f>
        <v>#DIV/0!</v>
      </c>
      <c r="AA31" s="126"/>
      <c r="AB31" s="80"/>
      <c r="AC31" s="80"/>
      <c r="AD31" s="75"/>
      <c r="AE31" s="127">
        <f t="shared" si="0"/>
        <v>0</v>
      </c>
      <c r="AF31" s="80"/>
      <c r="AG31" s="80"/>
      <c r="AH31" s="75"/>
      <c r="AI31" s="201"/>
      <c r="AJ31" s="80"/>
      <c r="AK31" s="80"/>
      <c r="AL31" s="75"/>
      <c r="AM31" s="72"/>
      <c r="AN31" s="20"/>
      <c r="AO31" s="21">
        <f>+P31*AP39</f>
        <v>0</v>
      </c>
      <c r="AP31" s="22">
        <f t="shared" si="1"/>
        <v>0</v>
      </c>
      <c r="AQ31" s="21">
        <f t="shared" si="2"/>
        <v>0</v>
      </c>
      <c r="AR31" s="14"/>
      <c r="AS31" s="14"/>
      <c r="AT31" s="14"/>
      <c r="AU31" s="14"/>
      <c r="AV31" s="211"/>
      <c r="AW31" s="210"/>
      <c r="AX31" s="211"/>
      <c r="AY31" s="210"/>
      <c r="AZ31" s="210"/>
      <c r="BA31" s="211"/>
      <c r="BB31" s="215"/>
      <c r="BC31" s="211"/>
      <c r="BD31" s="211"/>
      <c r="BE31" s="14"/>
      <c r="BF31" s="14"/>
      <c r="BG31" s="14"/>
      <c r="BH31" s="14"/>
      <c r="BI31" s="14"/>
      <c r="BJ31" s="14"/>
      <c r="BK31" s="14"/>
    </row>
    <row r="32" spans="1:63" ht="14.25" customHeight="1" x14ac:dyDescent="0.2">
      <c r="A32" s="14"/>
      <c r="B32" s="74">
        <v>17</v>
      </c>
      <c r="C32" s="75"/>
      <c r="D32" s="81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75"/>
      <c r="P32" s="136"/>
      <c r="Q32" s="80"/>
      <c r="R32" s="80"/>
      <c r="S32" s="80"/>
      <c r="T32" s="80"/>
      <c r="U32" s="75"/>
      <c r="V32" s="99">
        <f>SUM(P32*I12/1000000)</f>
        <v>0</v>
      </c>
      <c r="W32" s="80"/>
      <c r="X32" s="80"/>
      <c r="Y32" s="75"/>
      <c r="Z32" s="18" t="e">
        <f>P32*100/P36</f>
        <v>#DIV/0!</v>
      </c>
      <c r="AA32" s="126"/>
      <c r="AB32" s="80"/>
      <c r="AC32" s="80"/>
      <c r="AD32" s="75"/>
      <c r="AE32" s="127">
        <f t="shared" si="0"/>
        <v>0</v>
      </c>
      <c r="AF32" s="80"/>
      <c r="AG32" s="80"/>
      <c r="AH32" s="75"/>
      <c r="AI32" s="74"/>
      <c r="AJ32" s="80"/>
      <c r="AK32" s="80"/>
      <c r="AL32" s="75"/>
      <c r="AM32" s="19"/>
      <c r="AN32" s="20"/>
      <c r="AO32" s="21">
        <f>+P32*AP39</f>
        <v>0</v>
      </c>
      <c r="AP32" s="22">
        <f t="shared" si="1"/>
        <v>0</v>
      </c>
      <c r="AQ32" s="21">
        <f t="shared" si="2"/>
        <v>0</v>
      </c>
      <c r="AR32" s="14"/>
      <c r="AS32" s="14"/>
      <c r="AT32" s="14"/>
      <c r="AU32" s="14"/>
      <c r="AV32" s="211"/>
      <c r="AW32" s="210"/>
      <c r="AX32" s="211"/>
      <c r="AY32" s="210"/>
      <c r="AZ32" s="210"/>
      <c r="BA32" s="211"/>
      <c r="BB32" s="215"/>
      <c r="BC32" s="211"/>
      <c r="BD32" s="211"/>
      <c r="BE32" s="14"/>
      <c r="BF32" s="14"/>
      <c r="BG32" s="14"/>
      <c r="BH32" s="14"/>
      <c r="BI32" s="14"/>
      <c r="BJ32" s="14"/>
      <c r="BK32" s="14"/>
    </row>
    <row r="33" spans="1:63" ht="14.25" customHeight="1" x14ac:dyDescent="0.2">
      <c r="A33" s="1"/>
      <c r="B33" s="74">
        <v>18</v>
      </c>
      <c r="C33" s="75"/>
      <c r="D33" s="81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75"/>
      <c r="P33" s="136"/>
      <c r="Q33" s="80"/>
      <c r="R33" s="80"/>
      <c r="S33" s="80"/>
      <c r="T33" s="80"/>
      <c r="U33" s="75"/>
      <c r="V33" s="99">
        <f>SUM(P33*I12/1000000)</f>
        <v>0</v>
      </c>
      <c r="W33" s="80"/>
      <c r="X33" s="80"/>
      <c r="Y33" s="75"/>
      <c r="Z33" s="18" t="e">
        <f>P33*100/P36</f>
        <v>#DIV/0!</v>
      </c>
      <c r="AA33" s="126"/>
      <c r="AB33" s="80"/>
      <c r="AC33" s="80"/>
      <c r="AD33" s="75"/>
      <c r="AE33" s="127">
        <f t="shared" si="0"/>
        <v>0</v>
      </c>
      <c r="AF33" s="80"/>
      <c r="AG33" s="80"/>
      <c r="AH33" s="75"/>
      <c r="AI33" s="74"/>
      <c r="AJ33" s="80"/>
      <c r="AK33" s="80"/>
      <c r="AL33" s="75"/>
      <c r="AM33" s="19"/>
      <c r="AN33" s="20"/>
      <c r="AO33" s="21">
        <f>+P33*AP39</f>
        <v>0</v>
      </c>
      <c r="AP33" s="22">
        <f t="shared" si="1"/>
        <v>0</v>
      </c>
      <c r="AQ33" s="21">
        <f t="shared" si="2"/>
        <v>0</v>
      </c>
      <c r="AR33" s="1"/>
      <c r="AS33" s="1"/>
      <c r="AT33" s="1"/>
      <c r="AU33" s="1"/>
      <c r="AV33" s="206"/>
      <c r="AW33" s="213"/>
      <c r="AX33" s="214"/>
      <c r="AY33" s="210"/>
      <c r="AZ33" s="213"/>
      <c r="BA33" s="206"/>
      <c r="BB33" s="215"/>
      <c r="BC33" s="206"/>
      <c r="BD33" s="206"/>
      <c r="BE33" s="1"/>
      <c r="BF33" s="1"/>
      <c r="BG33" s="1"/>
      <c r="BH33" s="1"/>
      <c r="BI33" s="1"/>
      <c r="BJ33" s="1"/>
      <c r="BK33" s="1"/>
    </row>
    <row r="34" spans="1:63" ht="14.25" customHeight="1" x14ac:dyDescent="0.2">
      <c r="A34" s="1"/>
      <c r="B34" s="74">
        <v>19</v>
      </c>
      <c r="C34" s="75"/>
      <c r="D34" s="81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75"/>
      <c r="P34" s="135"/>
      <c r="Q34" s="87"/>
      <c r="R34" s="87"/>
      <c r="S34" s="87"/>
      <c r="T34" s="87"/>
      <c r="U34" s="88"/>
      <c r="V34" s="99">
        <f>SUM(P34*I12/1000000)</f>
        <v>0</v>
      </c>
      <c r="W34" s="80"/>
      <c r="X34" s="80"/>
      <c r="Y34" s="75"/>
      <c r="Z34" s="30" t="e">
        <f>P34*100/P36</f>
        <v>#DIV/0!</v>
      </c>
      <c r="AA34" s="132"/>
      <c r="AB34" s="87"/>
      <c r="AC34" s="87"/>
      <c r="AD34" s="88"/>
      <c r="AE34" s="127">
        <f t="shared" si="0"/>
        <v>0</v>
      </c>
      <c r="AF34" s="80"/>
      <c r="AG34" s="80"/>
      <c r="AH34" s="75"/>
      <c r="AI34" s="74"/>
      <c r="AJ34" s="80"/>
      <c r="AK34" s="80"/>
      <c r="AL34" s="75"/>
      <c r="AM34" s="19"/>
      <c r="AN34" s="20"/>
      <c r="AO34" s="21">
        <f>+P34*AP39</f>
        <v>0</v>
      </c>
      <c r="AP34" s="22">
        <f t="shared" si="1"/>
        <v>0</v>
      </c>
      <c r="AQ34" s="21">
        <f t="shared" si="2"/>
        <v>0</v>
      </c>
      <c r="AR34" s="1"/>
      <c r="AS34" s="1"/>
      <c r="AT34" s="1"/>
      <c r="AU34" s="1"/>
      <c r="AV34" s="206"/>
      <c r="AW34" s="214"/>
      <c r="AX34" s="214"/>
      <c r="AY34" s="214"/>
      <c r="AZ34" s="214"/>
      <c r="BA34" s="216"/>
      <c r="BB34" s="216"/>
      <c r="BC34" s="216"/>
      <c r="BD34" s="216"/>
      <c r="BE34" s="25"/>
      <c r="BF34" s="1"/>
      <c r="BG34" s="1"/>
      <c r="BH34" s="1"/>
      <c r="BI34" s="1"/>
      <c r="BJ34" s="1"/>
      <c r="BK34" s="1"/>
    </row>
    <row r="35" spans="1:63" ht="14.25" customHeight="1" x14ac:dyDescent="0.2">
      <c r="A35" s="1"/>
      <c r="B35" s="74">
        <v>20</v>
      </c>
      <c r="C35" s="75"/>
      <c r="D35" s="81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75"/>
      <c r="P35" s="136"/>
      <c r="Q35" s="80"/>
      <c r="R35" s="80"/>
      <c r="S35" s="80"/>
      <c r="T35" s="80"/>
      <c r="U35" s="75"/>
      <c r="V35" s="99">
        <f>SUM(P35*I12/1000000)</f>
        <v>0</v>
      </c>
      <c r="W35" s="80"/>
      <c r="X35" s="80"/>
      <c r="Y35" s="75"/>
      <c r="Z35" s="30" t="e">
        <f>P35*100/P36</f>
        <v>#DIV/0!</v>
      </c>
      <c r="AA35" s="132"/>
      <c r="AB35" s="87"/>
      <c r="AC35" s="87"/>
      <c r="AD35" s="88"/>
      <c r="AE35" s="127">
        <f t="shared" si="0"/>
        <v>0</v>
      </c>
      <c r="AF35" s="80"/>
      <c r="AG35" s="80"/>
      <c r="AH35" s="75"/>
      <c r="AI35" s="74"/>
      <c r="AJ35" s="80"/>
      <c r="AK35" s="80"/>
      <c r="AL35" s="75"/>
      <c r="AM35" s="19"/>
      <c r="AN35" s="20"/>
      <c r="AO35" s="21">
        <f>+P35*AP39</f>
        <v>0</v>
      </c>
      <c r="AP35" s="22">
        <f t="shared" si="1"/>
        <v>0</v>
      </c>
      <c r="AQ35" s="21">
        <f t="shared" si="2"/>
        <v>0</v>
      </c>
      <c r="AR35" s="1"/>
      <c r="AS35" s="1"/>
      <c r="AT35" s="1"/>
      <c r="AU35" s="1"/>
      <c r="AV35" s="7"/>
      <c r="AW35" s="24"/>
      <c r="AX35" s="24"/>
      <c r="AY35" s="25"/>
      <c r="AZ35" s="25"/>
      <c r="BA35" s="25"/>
      <c r="BB35" s="25"/>
      <c r="BC35" s="25"/>
      <c r="BD35" s="25"/>
      <c r="BE35" s="25"/>
      <c r="BF35" s="1"/>
      <c r="BG35" s="1"/>
      <c r="BH35" s="1"/>
      <c r="BI35" s="1"/>
      <c r="BJ35" s="1"/>
      <c r="BK35" s="1"/>
    </row>
    <row r="36" spans="1:63" ht="15" customHeight="1" x14ac:dyDescent="0.2">
      <c r="A36" s="1"/>
      <c r="B36" s="158" t="s">
        <v>37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146"/>
      <c r="P36" s="154">
        <f>SUM(P16:U35)</f>
        <v>0</v>
      </c>
      <c r="Q36" s="155"/>
      <c r="R36" s="155"/>
      <c r="S36" s="155"/>
      <c r="T36" s="155"/>
      <c r="U36" s="156"/>
      <c r="V36" s="157">
        <f>SUM(V16:Y35)</f>
        <v>0</v>
      </c>
      <c r="W36" s="155"/>
      <c r="X36" s="155"/>
      <c r="Y36" s="156"/>
      <c r="Z36" s="31" t="e">
        <f>SUM(Z16:Z35)</f>
        <v>#DIV/0!</v>
      </c>
      <c r="AA36" s="133"/>
      <c r="AB36" s="87"/>
      <c r="AC36" s="87"/>
      <c r="AD36" s="88"/>
      <c r="AE36" s="148" t="s">
        <v>38</v>
      </c>
      <c r="AF36" s="80"/>
      <c r="AG36" s="80"/>
      <c r="AH36" s="80"/>
      <c r="AI36" s="80"/>
      <c r="AJ36" s="80"/>
      <c r="AK36" s="80"/>
      <c r="AL36" s="75"/>
      <c r="AM36" s="32"/>
      <c r="AN36" s="33">
        <f>SUM(AN18:AN35)</f>
        <v>0</v>
      </c>
      <c r="AO36" s="149">
        <f>+AE39*AP39</f>
        <v>16</v>
      </c>
      <c r="AP36" s="80"/>
      <c r="AQ36" s="75"/>
      <c r="AR36" s="1"/>
      <c r="AS36" s="1"/>
      <c r="AT36" s="1"/>
      <c r="AU36" s="1"/>
      <c r="AV36" s="34"/>
      <c r="AW36" s="34"/>
      <c r="AX36" s="26"/>
      <c r="AZ36" s="26"/>
      <c r="BA36" s="26"/>
      <c r="BB36" s="26"/>
      <c r="BC36" s="26"/>
      <c r="BD36" s="26"/>
      <c r="BE36" s="24"/>
      <c r="BF36" s="24"/>
      <c r="BG36" s="24"/>
      <c r="BH36" s="24"/>
      <c r="BI36" s="24"/>
      <c r="BJ36" s="25"/>
      <c r="BK36" s="25"/>
    </row>
    <row r="37" spans="1:63" ht="15.75" customHeight="1" x14ac:dyDescent="0.2">
      <c r="A37" s="1"/>
      <c r="B37" s="150" t="s">
        <v>39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75"/>
      <c r="AR37" s="1"/>
      <c r="AS37" s="1"/>
      <c r="AT37" s="1"/>
      <c r="AU37" s="1"/>
      <c r="AV37" s="34"/>
      <c r="AW37" s="34"/>
      <c r="AX37" s="26"/>
      <c r="AY37" s="26"/>
      <c r="AZ37" s="26"/>
      <c r="BA37" s="26"/>
      <c r="BB37" s="26"/>
      <c r="BC37" s="26"/>
      <c r="BD37" s="26"/>
      <c r="BE37" s="24"/>
      <c r="BF37" s="24"/>
      <c r="BG37" s="24"/>
      <c r="BH37" s="24"/>
      <c r="BI37" s="24"/>
      <c r="BJ37" s="25"/>
      <c r="BK37" s="25"/>
    </row>
    <row r="38" spans="1:63" ht="15.75" customHeight="1" x14ac:dyDescent="0.2">
      <c r="A38" s="1"/>
      <c r="B38" s="150" t="s">
        <v>40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75"/>
      <c r="AR38" s="36"/>
      <c r="AS38" s="36"/>
      <c r="AT38" s="36"/>
      <c r="AU38" s="36"/>
      <c r="AV38" s="36"/>
      <c r="AW38" s="36"/>
      <c r="AX38" s="36"/>
      <c r="AY38" s="26"/>
      <c r="AZ38" s="26"/>
      <c r="BA38" s="26"/>
      <c r="BB38" s="26"/>
      <c r="BC38" s="26"/>
      <c r="BD38" s="26"/>
      <c r="BE38" s="24"/>
      <c r="BF38" s="24"/>
      <c r="BG38" s="24"/>
      <c r="BH38" s="24"/>
      <c r="BI38" s="24"/>
      <c r="BJ38" s="25"/>
      <c r="BK38" s="25"/>
    </row>
    <row r="39" spans="1:63" ht="15" customHeight="1" x14ac:dyDescent="0.2">
      <c r="A39" s="1"/>
      <c r="B39" s="151" t="s">
        <v>65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75"/>
      <c r="AA39" s="152" t="s">
        <v>41</v>
      </c>
      <c r="AB39" s="80"/>
      <c r="AC39" s="80"/>
      <c r="AD39" s="75"/>
      <c r="AE39" s="153">
        <v>0.1</v>
      </c>
      <c r="AF39" s="105"/>
      <c r="AG39" s="105"/>
      <c r="AH39" s="104"/>
      <c r="AI39" s="145"/>
      <c r="AJ39" s="146"/>
      <c r="AK39" s="37"/>
      <c r="AL39" s="37"/>
      <c r="AM39" s="37"/>
      <c r="AN39" s="147" t="s">
        <v>42</v>
      </c>
      <c r="AO39" s="75"/>
      <c r="AP39" s="38">
        <v>160</v>
      </c>
      <c r="AQ39" s="39" t="str">
        <f>+T12</f>
        <v>แคปซูล</v>
      </c>
      <c r="AR39" s="1"/>
      <c r="AS39" s="1"/>
      <c r="AT39" s="1"/>
      <c r="AU39" s="1"/>
      <c r="AV39" s="34"/>
      <c r="AW39" s="34"/>
      <c r="AX39" s="26"/>
      <c r="AY39" s="26"/>
      <c r="AZ39" s="26"/>
      <c r="BA39" s="26"/>
      <c r="BB39" s="26"/>
      <c r="BC39" s="26"/>
      <c r="BD39" s="26"/>
      <c r="BE39" s="24"/>
      <c r="BF39" s="24"/>
      <c r="BG39" s="24"/>
      <c r="BH39" s="24"/>
      <c r="BI39" s="24"/>
      <c r="BJ39" s="25"/>
      <c r="BK39" s="25"/>
    </row>
    <row r="40" spans="1:63" ht="15" customHeight="1" x14ac:dyDescent="0.2">
      <c r="A40" s="26"/>
      <c r="B40" s="169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169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26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</row>
    <row r="41" spans="1:63" ht="15" customHeight="1" x14ac:dyDescent="0.2">
      <c r="A41" s="26"/>
      <c r="B41" s="159" t="s">
        <v>43</v>
      </c>
      <c r="C41" s="80"/>
      <c r="D41" s="80"/>
      <c r="E41" s="80"/>
      <c r="F41" s="80"/>
      <c r="G41" s="80"/>
      <c r="H41" s="80"/>
      <c r="I41" s="80"/>
      <c r="J41" s="75"/>
      <c r="K41" s="170">
        <f>SUM(AE16:AH39)</f>
        <v>0.1</v>
      </c>
      <c r="L41" s="155"/>
      <c r="M41" s="155"/>
      <c r="N41" s="156"/>
      <c r="O41" s="73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5"/>
      <c r="AD41" s="5"/>
      <c r="AE41" s="5"/>
      <c r="AF41" s="5"/>
      <c r="AG41" s="5"/>
      <c r="AH41" s="5"/>
      <c r="AI41" s="159" t="s">
        <v>44</v>
      </c>
      <c r="AJ41" s="80"/>
      <c r="AK41" s="80"/>
      <c r="AL41" s="80"/>
      <c r="AM41" s="80"/>
      <c r="AN41" s="75"/>
      <c r="AO41" s="170">
        <f>SUM(I12*K41)</f>
        <v>0</v>
      </c>
      <c r="AP41" s="155"/>
      <c r="AQ41" s="15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</row>
    <row r="42" spans="1:63" ht="15" customHeight="1" x14ac:dyDescent="0.2">
      <c r="A42" s="26"/>
      <c r="B42" s="159" t="s">
        <v>45</v>
      </c>
      <c r="C42" s="80"/>
      <c r="D42" s="80"/>
      <c r="E42" s="80"/>
      <c r="F42" s="80"/>
      <c r="G42" s="80"/>
      <c r="H42" s="80"/>
      <c r="I42" s="80"/>
      <c r="J42" s="75"/>
      <c r="K42" s="171"/>
      <c r="L42" s="161"/>
      <c r="M42" s="161"/>
      <c r="N42" s="162"/>
      <c r="O42" s="73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5"/>
      <c r="AD42" s="5"/>
      <c r="AE42" s="5"/>
      <c r="AF42" s="5"/>
      <c r="AG42" s="5"/>
      <c r="AH42" s="5"/>
      <c r="AI42" s="159" t="s">
        <v>46</v>
      </c>
      <c r="AJ42" s="80"/>
      <c r="AK42" s="80"/>
      <c r="AL42" s="80"/>
      <c r="AM42" s="80"/>
      <c r="AN42" s="75"/>
      <c r="AO42" s="160">
        <f>SUM(I12*K42)</f>
        <v>0</v>
      </c>
      <c r="AP42" s="161"/>
      <c r="AQ42" s="162"/>
      <c r="AR42" s="26"/>
      <c r="AS42" s="7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</row>
    <row r="43" spans="1:63" ht="15" customHeight="1" x14ac:dyDescent="0.2">
      <c r="A43" s="26"/>
      <c r="B43" s="159" t="s">
        <v>47</v>
      </c>
      <c r="C43" s="80"/>
      <c r="D43" s="80"/>
      <c r="E43" s="80"/>
      <c r="F43" s="80"/>
      <c r="G43" s="80"/>
      <c r="H43" s="80"/>
      <c r="I43" s="80"/>
      <c r="J43" s="75"/>
      <c r="K43" s="160">
        <f>SUM(K42-K41)</f>
        <v>-0.1</v>
      </c>
      <c r="L43" s="161"/>
      <c r="M43" s="161"/>
      <c r="N43" s="162"/>
      <c r="O43" s="73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41" t="e">
        <f>K43*100/K42</f>
        <v>#DIV/0!</v>
      </c>
      <c r="AA43" s="26"/>
      <c r="AB43" s="26"/>
      <c r="AC43" s="5"/>
      <c r="AD43" s="5"/>
      <c r="AE43" s="5"/>
      <c r="AF43" s="5"/>
      <c r="AG43" s="5"/>
      <c r="AH43" s="5"/>
      <c r="AI43" s="159" t="s">
        <v>48</v>
      </c>
      <c r="AJ43" s="80"/>
      <c r="AK43" s="80"/>
      <c r="AL43" s="80"/>
      <c r="AM43" s="80"/>
      <c r="AN43" s="75"/>
      <c r="AO43" s="160">
        <f>SUM(AO42-AO41)</f>
        <v>0</v>
      </c>
      <c r="AP43" s="161"/>
      <c r="AQ43" s="162"/>
      <c r="AR43" s="26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15" customHeight="1" x14ac:dyDescent="0.2">
      <c r="A44" s="26"/>
      <c r="B44" s="163" t="s">
        <v>49</v>
      </c>
      <c r="C44" s="80"/>
      <c r="D44" s="80"/>
      <c r="E44" s="80"/>
      <c r="F44" s="80"/>
      <c r="G44" s="80"/>
      <c r="H44" s="80"/>
      <c r="I44" s="80"/>
      <c r="J44" s="75"/>
      <c r="K44" s="164">
        <f>SUM(AQ18:AQ36)</f>
        <v>0</v>
      </c>
      <c r="L44" s="161"/>
      <c r="M44" s="161"/>
      <c r="N44" s="162"/>
      <c r="O44" s="42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5"/>
      <c r="AD44" s="5"/>
      <c r="AE44" s="5"/>
      <c r="AF44" s="5"/>
      <c r="AG44" s="5"/>
      <c r="AH44" s="5"/>
      <c r="AI44" s="163" t="s">
        <v>50</v>
      </c>
      <c r="AJ44" s="80"/>
      <c r="AK44" s="80"/>
      <c r="AL44" s="80"/>
      <c r="AM44" s="80"/>
      <c r="AN44" s="75"/>
      <c r="AO44" s="164">
        <f>+AO43-AN36</f>
        <v>0</v>
      </c>
      <c r="AP44" s="161"/>
      <c r="AQ44" s="162"/>
      <c r="AR44" s="1"/>
      <c r="AS44" s="1"/>
      <c r="AT44" s="34"/>
      <c r="AU44" s="43"/>
      <c r="AV44" s="34"/>
      <c r="AW44" s="34"/>
      <c r="AX44" s="34"/>
      <c r="AY44" s="44"/>
      <c r="AZ44" s="44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ht="1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</row>
    <row r="46" spans="1:63" ht="15" customHeight="1" x14ac:dyDescent="0.2">
      <c r="A46" s="26"/>
      <c r="B46" s="172" t="s">
        <v>51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75"/>
      <c r="N46" s="46"/>
      <c r="O46" s="26"/>
      <c r="P46" s="26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48"/>
      <c r="AP46" s="48"/>
      <c r="AQ46" s="7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</row>
    <row r="47" spans="1:63" ht="15" customHeight="1" x14ac:dyDescent="0.2">
      <c r="A47" s="26"/>
      <c r="B47" s="204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8"/>
      <c r="N47" s="46"/>
      <c r="O47" s="26"/>
      <c r="P47" s="2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49"/>
      <c r="AP47" s="49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</row>
    <row r="48" spans="1:63" ht="15" customHeight="1" x14ac:dyDescent="0.2">
      <c r="A48" s="26"/>
      <c r="B48" s="205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1"/>
      <c r="N48" s="46"/>
      <c r="O48" s="26"/>
      <c r="P48" s="26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6"/>
      <c r="AD48" s="26"/>
      <c r="AE48" s="26"/>
      <c r="AF48" s="26"/>
      <c r="AG48" s="26"/>
      <c r="AH48" s="26"/>
      <c r="AI48" s="165" t="s">
        <v>52</v>
      </c>
      <c r="AJ48" s="166"/>
      <c r="AK48" s="166"/>
      <c r="AL48" s="166"/>
      <c r="AM48" s="166"/>
      <c r="AN48" s="166"/>
      <c r="AO48" s="1" t="s">
        <v>53</v>
      </c>
      <c r="AP48" s="1"/>
      <c r="AQ48" s="48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</row>
    <row r="49" spans="1:63" ht="15" customHeight="1" x14ac:dyDescent="0.2">
      <c r="A49" s="26"/>
      <c r="B49" s="205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1"/>
      <c r="N49" s="46"/>
      <c r="O49" s="50" t="s">
        <v>54</v>
      </c>
      <c r="P49" s="4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26"/>
      <c r="AD49" s="26"/>
      <c r="AE49" s="26"/>
      <c r="AF49" s="26"/>
      <c r="AG49" s="26"/>
      <c r="AH49" s="26"/>
      <c r="AI49" s="167">
        <f>AJ8</f>
        <v>0</v>
      </c>
      <c r="AJ49" s="168"/>
      <c r="AK49" s="168"/>
      <c r="AL49" s="168"/>
      <c r="AM49" s="168"/>
      <c r="AN49" s="168"/>
      <c r="AO49" s="1"/>
      <c r="AP49" s="1"/>
      <c r="AQ49" s="48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</row>
    <row r="50" spans="1:63" ht="15" customHeight="1" x14ac:dyDescent="0.2">
      <c r="A50" s="26"/>
      <c r="B50" s="202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1"/>
      <c r="N50" s="46"/>
      <c r="O50" s="51" t="s">
        <v>55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52"/>
      <c r="AP50" s="52"/>
      <c r="AQ50" s="49"/>
      <c r="AR50" s="26"/>
      <c r="AS50" s="26"/>
      <c r="AT50" s="26"/>
      <c r="AU50" s="26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1:63" ht="15" customHeight="1" x14ac:dyDescent="0.2">
      <c r="A51" s="26"/>
      <c r="B51" s="202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1"/>
      <c r="N51" s="46"/>
      <c r="O51" s="51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52"/>
      <c r="AP51" s="52"/>
      <c r="AQ51" s="49"/>
      <c r="AR51" s="26"/>
      <c r="AS51" s="26"/>
      <c r="AT51" s="26"/>
      <c r="AU51" s="26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1:63" ht="15" customHeight="1" x14ac:dyDescent="0.2">
      <c r="A52" s="26"/>
      <c r="B52" s="203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1"/>
      <c r="N52" s="46"/>
      <c r="O52" s="26"/>
      <c r="P52" s="26"/>
      <c r="Q52" s="5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 spans="1:63" ht="1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36"/>
      <c r="P53" s="36"/>
      <c r="Q53" s="36"/>
      <c r="R53" s="36"/>
      <c r="S53" s="36"/>
      <c r="T53" s="36"/>
      <c r="U53" s="36"/>
      <c r="V53" s="36"/>
      <c r="W53" s="36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</row>
    <row r="54" spans="1:63" ht="15" customHeight="1" x14ac:dyDescent="0.2">
      <c r="A54" s="26"/>
      <c r="B54" s="143" t="s">
        <v>56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75"/>
      <c r="N54" s="26"/>
      <c r="O54" s="36"/>
      <c r="P54" s="53"/>
      <c r="Q54" s="53"/>
      <c r="R54" s="53"/>
      <c r="S54" s="53"/>
      <c r="T54" s="36"/>
      <c r="U54" s="53"/>
      <c r="V54" s="53"/>
      <c r="W54" s="53"/>
      <c r="X54" s="53"/>
      <c r="Y54" s="53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</row>
    <row r="55" spans="1:63" ht="15" customHeight="1" x14ac:dyDescent="0.2">
      <c r="A55" s="26"/>
      <c r="B55" s="144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8"/>
      <c r="N55" s="26"/>
      <c r="O55" s="36"/>
      <c r="P55" s="54"/>
      <c r="Q55" s="53"/>
      <c r="R55" s="53"/>
      <c r="S55" s="53"/>
      <c r="T55" s="36"/>
      <c r="U55" s="53"/>
      <c r="V55" s="53"/>
      <c r="W55" s="53"/>
      <c r="X55" s="53"/>
      <c r="Y55" s="53"/>
      <c r="Z55" s="26"/>
      <c r="AA55" s="26"/>
      <c r="AB55" s="26"/>
      <c r="AC55" s="26"/>
      <c r="AD55" s="26">
        <v>2.75</v>
      </c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55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</row>
    <row r="56" spans="1:63" ht="15" customHeight="1" x14ac:dyDescent="0.2">
      <c r="A56" s="26"/>
      <c r="B56" s="137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117"/>
      <c r="N56" s="26"/>
      <c r="O56" s="36"/>
      <c r="P56" s="36"/>
      <c r="Q56" s="53"/>
      <c r="R56" s="53"/>
      <c r="S56" s="53"/>
      <c r="T56" s="36"/>
      <c r="U56" s="53"/>
      <c r="V56" s="53"/>
      <c r="W56" s="53"/>
      <c r="X56" s="53"/>
      <c r="Y56" s="53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55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</row>
    <row r="57" spans="1:63" ht="15" customHeight="1" x14ac:dyDescent="0.2">
      <c r="A57" s="26"/>
      <c r="B57" s="137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117"/>
      <c r="N57" s="26"/>
      <c r="O57" s="36"/>
      <c r="P57" s="36"/>
      <c r="Q57" s="53"/>
      <c r="R57" s="53"/>
      <c r="S57" s="53"/>
      <c r="T57" s="36"/>
      <c r="U57" s="53"/>
      <c r="V57" s="53"/>
      <c r="W57" s="53"/>
      <c r="X57" s="53"/>
      <c r="Y57" s="53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55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</row>
    <row r="58" spans="1:63" ht="15" customHeight="1" x14ac:dyDescent="0.2">
      <c r="A58" s="26"/>
      <c r="B58" s="137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117"/>
      <c r="N58" s="26"/>
      <c r="O58" s="36"/>
      <c r="P58" s="36"/>
      <c r="Q58" s="53"/>
      <c r="R58" s="53"/>
      <c r="S58" s="53"/>
      <c r="T58" s="36"/>
      <c r="U58" s="53"/>
      <c r="V58" s="53"/>
      <c r="W58" s="53"/>
      <c r="X58" s="53"/>
      <c r="Y58" s="53"/>
      <c r="Z58" s="26"/>
      <c r="AA58" s="26"/>
      <c r="AB58" s="56"/>
      <c r="AC58" s="56"/>
      <c r="AD58" s="56"/>
      <c r="AE58" s="56"/>
      <c r="AF58" s="56"/>
      <c r="AG58" s="56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</row>
    <row r="59" spans="1:63" ht="15" customHeight="1" x14ac:dyDescent="0.2">
      <c r="A59" s="26"/>
      <c r="B59" s="138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1"/>
      <c r="N59" s="44"/>
      <c r="O59" s="36"/>
      <c r="P59" s="36"/>
      <c r="Q59" s="53"/>
      <c r="R59" s="53"/>
      <c r="S59" s="53"/>
      <c r="T59" s="36"/>
      <c r="U59" s="53"/>
      <c r="V59" s="53"/>
      <c r="W59" s="53"/>
      <c r="X59" s="53"/>
      <c r="Y59" s="53"/>
      <c r="Z59" s="44"/>
      <c r="AA59" s="44"/>
      <c r="AB59" s="56"/>
      <c r="AC59" s="56"/>
      <c r="AD59" s="56"/>
      <c r="AE59" s="56"/>
      <c r="AF59" s="56"/>
      <c r="AG59" s="56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 spans="1:63" ht="15" customHeight="1" x14ac:dyDescent="0.2">
      <c r="A60" s="26"/>
      <c r="B60" s="1"/>
      <c r="C60" s="1"/>
      <c r="D60" s="1"/>
      <c r="E60" s="1"/>
      <c r="F60" s="1"/>
      <c r="G60" s="1"/>
      <c r="H60" s="1"/>
      <c r="I60" s="44"/>
      <c r="J60" s="44"/>
      <c r="K60" s="44"/>
      <c r="L60" s="44"/>
      <c r="M60" s="44"/>
      <c r="N60" s="44"/>
      <c r="O60" s="36"/>
      <c r="P60" s="36"/>
      <c r="Q60" s="53"/>
      <c r="R60" s="53"/>
      <c r="S60" s="53"/>
      <c r="T60" s="36"/>
      <c r="U60" s="53"/>
      <c r="V60" s="53"/>
      <c r="W60" s="53"/>
      <c r="X60" s="53"/>
      <c r="Y60" s="53"/>
      <c r="Z60" s="44"/>
      <c r="AA60" s="44"/>
      <c r="AB60" s="56"/>
      <c r="AC60" s="56"/>
      <c r="AD60" s="56"/>
      <c r="AE60" s="56"/>
      <c r="AF60" s="56"/>
      <c r="AG60" s="56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 spans="1:63" ht="1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56"/>
      <c r="L61" s="56"/>
      <c r="M61" s="56"/>
      <c r="N61" s="55"/>
      <c r="O61" s="55"/>
      <c r="P61" s="55"/>
      <c r="Q61" s="55"/>
      <c r="R61" s="55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</row>
    <row r="62" spans="1:63" ht="1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56"/>
      <c r="L62" s="56"/>
      <c r="M62" s="56"/>
      <c r="N62" s="55"/>
      <c r="O62" s="55"/>
      <c r="P62" s="55"/>
      <c r="Q62" s="55"/>
      <c r="R62" s="55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 spans="1:63" ht="1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56"/>
      <c r="L63" s="56"/>
      <c r="M63" s="56"/>
      <c r="N63" s="55"/>
      <c r="O63" s="55"/>
      <c r="P63" s="55"/>
      <c r="Q63" s="55"/>
      <c r="R63" s="55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</row>
    <row r="64" spans="1:63" ht="12.7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44"/>
      <c r="L64" s="44"/>
      <c r="M64" s="44"/>
      <c r="N64" s="44"/>
      <c r="O64" s="44"/>
      <c r="P64" s="44"/>
      <c r="Q64" s="44"/>
      <c r="R64" s="44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</row>
    <row r="65" spans="1:63" ht="12.7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44"/>
      <c r="L65" s="44"/>
      <c r="M65" s="44"/>
      <c r="N65" s="44"/>
      <c r="O65" s="44"/>
      <c r="P65" s="44"/>
      <c r="Q65" s="44"/>
      <c r="R65" s="44"/>
      <c r="S65" s="26"/>
      <c r="T65" s="26"/>
      <c r="U65" s="26"/>
      <c r="V65" s="26"/>
      <c r="W65" s="26"/>
      <c r="X65" s="44"/>
      <c r="Y65" s="44"/>
      <c r="Z65" s="44"/>
      <c r="AA65" s="44"/>
      <c r="AB65" s="44"/>
      <c r="AC65" s="44"/>
      <c r="AD65" s="44"/>
      <c r="AE65" s="44"/>
      <c r="AF65" s="56"/>
      <c r="AG65" s="56"/>
      <c r="AH65" s="56"/>
      <c r="AI65" s="56"/>
      <c r="AJ65" s="56"/>
      <c r="AK65" s="56"/>
      <c r="AL65" s="55"/>
      <c r="AM65" s="55"/>
      <c r="AN65" s="55"/>
      <c r="AO65" s="55"/>
      <c r="AP65" s="55"/>
      <c r="AQ65" s="55"/>
      <c r="AR65" s="55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</row>
    <row r="66" spans="1:63" ht="12.7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44"/>
      <c r="L66" s="44"/>
      <c r="M66" s="44"/>
      <c r="N66" s="44"/>
      <c r="O66" s="44"/>
      <c r="P66" s="44"/>
      <c r="Q66" s="44"/>
      <c r="R66" s="44"/>
      <c r="S66" s="26"/>
      <c r="T66" s="26"/>
      <c r="U66" s="26"/>
      <c r="V66" s="26"/>
      <c r="W66" s="26"/>
      <c r="X66" s="44"/>
      <c r="Y66" s="44"/>
      <c r="Z66" s="44"/>
      <c r="AA66" s="44"/>
      <c r="AB66" s="44"/>
      <c r="AC66" s="44"/>
      <c r="AD66" s="44"/>
      <c r="AE66" s="44"/>
      <c r="AF66" s="56"/>
      <c r="AG66" s="56"/>
      <c r="AH66" s="56"/>
      <c r="AI66" s="56"/>
      <c r="AJ66" s="56"/>
      <c r="AK66" s="56"/>
      <c r="AL66" s="55"/>
      <c r="AM66" s="55"/>
      <c r="AN66" s="55"/>
      <c r="AO66" s="55"/>
      <c r="AP66" s="55"/>
      <c r="AQ66" s="55"/>
      <c r="AR66" s="55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</row>
    <row r="67" spans="1:63" ht="12.7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56"/>
      <c r="AG67" s="56"/>
      <c r="AH67" s="56"/>
      <c r="AI67" s="56"/>
      <c r="AJ67" s="56"/>
      <c r="AK67" s="56"/>
      <c r="AL67" s="55"/>
      <c r="AM67" s="55"/>
      <c r="AN67" s="55"/>
      <c r="AO67" s="55"/>
      <c r="AP67" s="55"/>
      <c r="AQ67" s="55"/>
      <c r="AR67" s="55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</row>
    <row r="68" spans="1:63" ht="12.75" customHeight="1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56"/>
      <c r="AG68" s="56"/>
      <c r="AH68" s="56"/>
      <c r="AI68" s="56"/>
      <c r="AJ68" s="56"/>
      <c r="AK68" s="56"/>
      <c r="AL68" s="55"/>
      <c r="AM68" s="55"/>
      <c r="AN68" s="55"/>
      <c r="AO68" s="55"/>
      <c r="AP68" s="55"/>
      <c r="AQ68" s="55"/>
      <c r="AR68" s="55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</row>
    <row r="69" spans="1:63" ht="12.75" customHeight="1" x14ac:dyDescent="0.35">
      <c r="A69" s="26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5"/>
      <c r="AI69" s="57"/>
      <c r="AJ69" s="57"/>
      <c r="AK69" s="57"/>
      <c r="AL69" s="57"/>
      <c r="AM69" s="57"/>
      <c r="AN69" s="57"/>
      <c r="AO69" s="57"/>
      <c r="AP69" s="57"/>
      <c r="AQ69" s="55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</row>
    <row r="70" spans="1:63" ht="12.75" customHeight="1" x14ac:dyDescent="0.2">
      <c r="A70" s="26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5"/>
      <c r="AI70" s="5"/>
      <c r="AJ70" s="5"/>
      <c r="AK70" s="5"/>
      <c r="AL70" s="5"/>
      <c r="AM70" s="5"/>
      <c r="AN70" s="5"/>
      <c r="AO70" s="5"/>
      <c r="AP70" s="5"/>
      <c r="AQ70" s="55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</row>
    <row r="71" spans="1:63" ht="12.75" customHeight="1" x14ac:dyDescent="0.2">
      <c r="A71" s="2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</row>
    <row r="72" spans="1:63" ht="12.75" customHeight="1" x14ac:dyDescent="0.2">
      <c r="A72" s="26"/>
      <c r="B72" s="26"/>
      <c r="C72" s="26"/>
      <c r="D72" s="58"/>
      <c r="E72" s="26"/>
      <c r="F72" s="26"/>
      <c r="G72" s="26"/>
      <c r="H72" s="59"/>
      <c r="I72" s="59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</row>
    <row r="73" spans="1:63" ht="12.75" customHeight="1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</row>
    <row r="74" spans="1:63" ht="12.75" customHeight="1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</row>
    <row r="75" spans="1:63" ht="12.75" customHeight="1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</row>
    <row r="76" spans="1:63" ht="15" customHeight="1" x14ac:dyDescent="0.2">
      <c r="A76" s="26"/>
      <c r="B76" s="26"/>
      <c r="C76" s="26"/>
      <c r="D76" s="58"/>
      <c r="E76" s="26"/>
      <c r="F76" s="26"/>
      <c r="G76" s="26"/>
      <c r="H76" s="59"/>
      <c r="I76" s="59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</row>
    <row r="77" spans="1:63" ht="15" customHeight="1" x14ac:dyDescent="0.2">
      <c r="A77" s="26"/>
      <c r="B77" s="26"/>
      <c r="C77" s="26"/>
      <c r="D77" s="58"/>
      <c r="E77" s="26"/>
      <c r="F77" s="26"/>
      <c r="G77" s="26"/>
      <c r="H77" s="59"/>
      <c r="I77" s="59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</row>
    <row r="78" spans="1:63" ht="15" customHeight="1" x14ac:dyDescent="0.2">
      <c r="A78" s="26"/>
      <c r="B78" s="26"/>
      <c r="C78" s="26"/>
      <c r="D78" s="58"/>
      <c r="E78" s="26"/>
      <c r="F78" s="26"/>
      <c r="G78" s="26"/>
      <c r="H78" s="59"/>
      <c r="I78" s="59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</row>
    <row r="79" spans="1:63" ht="15" customHeight="1" x14ac:dyDescent="0.2">
      <c r="A79" s="1"/>
      <c r="B79" s="1"/>
      <c r="C79" s="34"/>
      <c r="D79" s="43"/>
      <c r="E79" s="34"/>
      <c r="F79" s="34"/>
      <c r="G79" s="34"/>
      <c r="H79" s="44"/>
      <c r="I79" s="4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5" customHeight="1" x14ac:dyDescent="0.2">
      <c r="A80" s="1"/>
      <c r="B80" s="1"/>
      <c r="C80" s="34"/>
      <c r="D80" s="43"/>
      <c r="E80" s="34"/>
      <c r="F80" s="34"/>
      <c r="G80" s="34"/>
      <c r="H80" s="44"/>
      <c r="I80" s="4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 t="s">
        <v>57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5" customHeight="1" x14ac:dyDescent="0.2">
      <c r="A85" s="1"/>
      <c r="B85" s="1"/>
      <c r="C85" s="34"/>
      <c r="D85" s="43"/>
      <c r="E85" s="34"/>
      <c r="F85" s="34"/>
      <c r="G85" s="34"/>
      <c r="H85" s="44"/>
      <c r="I85" s="4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5" customHeight="1" x14ac:dyDescent="0.2">
      <c r="A86" s="1"/>
      <c r="B86" s="1"/>
      <c r="C86" s="34"/>
      <c r="D86" s="43"/>
      <c r="E86" s="34"/>
      <c r="F86" s="34"/>
      <c r="G86" s="34"/>
      <c r="H86" s="44"/>
      <c r="I86" s="4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5" customHeight="1" x14ac:dyDescent="0.2">
      <c r="A87" s="1"/>
      <c r="B87" s="1"/>
      <c r="C87" s="34"/>
      <c r="D87" s="43"/>
      <c r="E87" s="34"/>
      <c r="F87" s="34"/>
      <c r="G87" s="34"/>
      <c r="H87" s="44"/>
      <c r="I87" s="4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5" customHeight="1" x14ac:dyDescent="0.2">
      <c r="A88" s="1"/>
      <c r="B88" s="1"/>
      <c r="C88" s="34"/>
      <c r="D88" s="43"/>
      <c r="E88" s="34"/>
      <c r="F88" s="34"/>
      <c r="G88" s="34"/>
      <c r="H88" s="44"/>
      <c r="I88" s="4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5" customHeight="1" x14ac:dyDescent="0.2">
      <c r="A89" s="1"/>
      <c r="B89" s="1"/>
      <c r="C89" s="34"/>
      <c r="D89" s="43"/>
      <c r="E89" s="34"/>
      <c r="F89" s="34"/>
      <c r="G89" s="34"/>
      <c r="H89" s="44"/>
      <c r="I89" s="4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5" customHeight="1" x14ac:dyDescent="0.2">
      <c r="A90" s="1"/>
      <c r="B90" s="1"/>
      <c r="C90" s="34"/>
      <c r="D90" s="43"/>
      <c r="E90" s="34"/>
      <c r="F90" s="34"/>
      <c r="G90" s="34"/>
      <c r="H90" s="44"/>
      <c r="I90" s="4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ht="1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ht="1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ht="1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ht="1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ht="1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1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1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1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1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1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1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1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1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1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1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1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1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1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1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1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1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1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1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 ht="1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 ht="1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 ht="1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 ht="1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 ht="1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 ht="1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 ht="1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 ht="1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 ht="1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 ht="1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 ht="1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 ht="1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 ht="1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 ht="1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 ht="1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 ht="1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 ht="1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 ht="1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 ht="1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 ht="1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 ht="1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 ht="1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 ht="1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 ht="1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 ht="1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 ht="1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 ht="1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 ht="1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 ht="1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 ht="1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 ht="1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 ht="1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 ht="1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 ht="1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 ht="1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 ht="1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 ht="1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 ht="1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 ht="1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 ht="1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 ht="1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 ht="1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 ht="1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 ht="1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 ht="1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 ht="1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t="1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 ht="1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 ht="1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 ht="1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 ht="1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 ht="1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 ht="1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 ht="1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 ht="1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 ht="1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 ht="1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 ht="1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 ht="1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 ht="1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 ht="1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 ht="1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 ht="1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 ht="1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 ht="1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 ht="1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 ht="1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 ht="1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 ht="1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 ht="1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 ht="1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 ht="1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 ht="1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 ht="17.25" customHeight="1" x14ac:dyDescent="0.2">
      <c r="A197" s="1"/>
      <c r="B197" s="1"/>
      <c r="C197" s="34"/>
      <c r="D197" s="43"/>
      <c r="E197" s="34"/>
      <c r="F197" s="34"/>
      <c r="G197" s="34"/>
      <c r="H197" s="44"/>
      <c r="I197" s="4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 ht="17.25" customHeight="1" x14ac:dyDescent="0.2">
      <c r="A198" s="1"/>
      <c r="B198" s="1"/>
      <c r="C198" s="34"/>
      <c r="D198" s="43"/>
      <c r="E198" s="34"/>
      <c r="F198" s="34"/>
      <c r="G198" s="34"/>
      <c r="H198" s="44"/>
      <c r="I198" s="4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spans="1:63" ht="17.25" customHeight="1" x14ac:dyDescent="0.2">
      <c r="A199" s="1"/>
      <c r="B199" s="1"/>
      <c r="C199" s="34"/>
      <c r="D199" s="43"/>
      <c r="E199" s="34"/>
      <c r="F199" s="34"/>
      <c r="G199" s="34"/>
      <c r="H199" s="44"/>
      <c r="I199" s="4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spans="1:63" ht="17.25" customHeight="1" x14ac:dyDescent="0.2">
      <c r="A200" s="1"/>
      <c r="B200" s="1"/>
      <c r="C200" s="34"/>
      <c r="D200" s="43"/>
      <c r="E200" s="34"/>
      <c r="F200" s="34"/>
      <c r="G200" s="34"/>
      <c r="H200" s="44"/>
      <c r="I200" s="4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spans="1:63" ht="17.25" customHeight="1" x14ac:dyDescent="0.2">
      <c r="A201" s="1"/>
      <c r="B201" s="1"/>
      <c r="C201" s="34"/>
      <c r="D201" s="43"/>
      <c r="E201" s="34"/>
      <c r="F201" s="34"/>
      <c r="G201" s="34"/>
      <c r="H201" s="44"/>
      <c r="I201" s="4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spans="1:63" ht="17.25" customHeight="1" x14ac:dyDescent="0.2">
      <c r="A202" s="1"/>
      <c r="B202" s="1"/>
      <c r="C202" s="34"/>
      <c r="D202" s="43"/>
      <c r="E202" s="34"/>
      <c r="F202" s="34"/>
      <c r="G202" s="34"/>
      <c r="H202" s="44"/>
      <c r="I202" s="4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spans="1:63" ht="17.25" customHeight="1" x14ac:dyDescent="0.2">
      <c r="A203" s="1"/>
      <c r="B203" s="1"/>
      <c r="C203" s="34"/>
      <c r="D203" s="43"/>
      <c r="E203" s="34"/>
      <c r="F203" s="34"/>
      <c r="G203" s="34"/>
      <c r="H203" s="44"/>
      <c r="I203" s="4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spans="1:63" ht="17.25" customHeight="1" x14ac:dyDescent="0.2">
      <c r="A204" s="1"/>
      <c r="B204" s="1"/>
      <c r="C204" s="34"/>
      <c r="D204" s="43"/>
      <c r="E204" s="34"/>
      <c r="F204" s="34"/>
      <c r="G204" s="34"/>
      <c r="H204" s="44"/>
      <c r="I204" s="4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spans="1:63" ht="17.25" customHeight="1" x14ac:dyDescent="0.2">
      <c r="A205" s="1"/>
      <c r="B205" s="1"/>
      <c r="C205" s="34"/>
      <c r="D205" s="43"/>
      <c r="E205" s="34"/>
      <c r="F205" s="34"/>
      <c r="G205" s="34"/>
      <c r="H205" s="44"/>
      <c r="I205" s="4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spans="1:63" ht="17.25" customHeight="1" x14ac:dyDescent="0.2">
      <c r="A206" s="1"/>
      <c r="B206" s="1"/>
      <c r="C206" s="34"/>
      <c r="D206" s="43"/>
      <c r="E206" s="34"/>
      <c r="F206" s="34"/>
      <c r="G206" s="34"/>
      <c r="H206" s="44"/>
      <c r="I206" s="4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spans="1:63" ht="17.25" customHeight="1" x14ac:dyDescent="0.2">
      <c r="A207" s="1"/>
      <c r="B207" s="1"/>
      <c r="C207" s="34"/>
      <c r="D207" s="43"/>
      <c r="E207" s="34"/>
      <c r="F207" s="34"/>
      <c r="G207" s="34"/>
      <c r="H207" s="44"/>
      <c r="I207" s="4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spans="1:63" ht="17.25" customHeight="1" x14ac:dyDescent="0.2">
      <c r="A208" s="1"/>
      <c r="B208" s="1"/>
      <c r="C208" s="34"/>
      <c r="D208" s="43"/>
      <c r="E208" s="34"/>
      <c r="F208" s="34"/>
      <c r="G208" s="34"/>
      <c r="H208" s="44"/>
      <c r="I208" s="4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spans="1:63" ht="17.25" customHeight="1" x14ac:dyDescent="0.2">
      <c r="A209" s="1"/>
      <c r="B209" s="1"/>
      <c r="C209" s="34"/>
      <c r="D209" s="43"/>
      <c r="E209" s="34"/>
      <c r="F209" s="34"/>
      <c r="G209" s="34"/>
      <c r="H209" s="44"/>
      <c r="I209" s="4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spans="1:63" ht="17.25" customHeight="1" x14ac:dyDescent="0.2">
      <c r="A210" s="1"/>
      <c r="B210" s="1"/>
      <c r="C210" s="34"/>
      <c r="D210" s="43"/>
      <c r="E210" s="34"/>
      <c r="F210" s="34"/>
      <c r="G210" s="34"/>
      <c r="H210" s="44"/>
      <c r="I210" s="4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spans="1:63" ht="17.25" customHeight="1" x14ac:dyDescent="0.2">
      <c r="A211" s="1"/>
      <c r="B211" s="1"/>
      <c r="C211" s="34"/>
      <c r="D211" s="43"/>
      <c r="E211" s="34"/>
      <c r="F211" s="34"/>
      <c r="G211" s="34"/>
      <c r="H211" s="44"/>
      <c r="I211" s="4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spans="1:63" ht="17.25" customHeight="1" x14ac:dyDescent="0.2">
      <c r="A212" s="1"/>
      <c r="B212" s="1"/>
      <c r="C212" s="34"/>
      <c r="D212" s="43"/>
      <c r="E212" s="34"/>
      <c r="F212" s="34"/>
      <c r="G212" s="34"/>
      <c r="H212" s="44"/>
      <c r="I212" s="4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spans="1:63" ht="17.25" customHeight="1" x14ac:dyDescent="0.2">
      <c r="A213" s="1"/>
      <c r="B213" s="1"/>
      <c r="C213" s="34"/>
      <c r="D213" s="43"/>
      <c r="E213" s="34"/>
      <c r="F213" s="34"/>
      <c r="G213" s="34"/>
      <c r="H213" s="44"/>
      <c r="I213" s="4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spans="1:63" ht="17.25" customHeight="1" x14ac:dyDescent="0.2">
      <c r="A214" s="1"/>
      <c r="B214" s="1"/>
      <c r="C214" s="34"/>
      <c r="D214" s="43"/>
      <c r="E214" s="34"/>
      <c r="F214" s="34"/>
      <c r="G214" s="34"/>
      <c r="H214" s="44"/>
      <c r="I214" s="4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spans="1:63" ht="17.25" customHeight="1" x14ac:dyDescent="0.2">
      <c r="A215" s="1"/>
      <c r="B215" s="1"/>
      <c r="C215" s="34"/>
      <c r="D215" s="43"/>
      <c r="E215" s="34"/>
      <c r="F215" s="34"/>
      <c r="G215" s="34"/>
      <c r="H215" s="44"/>
      <c r="I215" s="4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spans="1:63" ht="17.25" customHeight="1" x14ac:dyDescent="0.2">
      <c r="A216" s="1"/>
      <c r="B216" s="1"/>
      <c r="C216" s="34"/>
      <c r="D216" s="43"/>
      <c r="E216" s="34"/>
      <c r="F216" s="34"/>
      <c r="G216" s="34"/>
      <c r="H216" s="44"/>
      <c r="I216" s="4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spans="1:63" ht="17.25" customHeight="1" x14ac:dyDescent="0.2">
      <c r="A217" s="1"/>
      <c r="B217" s="1"/>
      <c r="C217" s="34"/>
      <c r="D217" s="43"/>
      <c r="E217" s="34"/>
      <c r="F217" s="34"/>
      <c r="G217" s="34"/>
      <c r="H217" s="44"/>
      <c r="I217" s="4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spans="1:63" ht="17.25" customHeight="1" x14ac:dyDescent="0.2">
      <c r="A218" s="1"/>
      <c r="B218" s="1"/>
      <c r="C218" s="34"/>
      <c r="D218" s="43"/>
      <c r="E218" s="34"/>
      <c r="F218" s="34"/>
      <c r="G218" s="34"/>
      <c r="H218" s="44"/>
      <c r="I218" s="4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spans="1:63" ht="17.25" customHeight="1" x14ac:dyDescent="0.2">
      <c r="A219" s="1"/>
      <c r="B219" s="1"/>
      <c r="C219" s="34"/>
      <c r="D219" s="43"/>
      <c r="E219" s="34"/>
      <c r="F219" s="34"/>
      <c r="G219" s="34"/>
      <c r="H219" s="44"/>
      <c r="I219" s="4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spans="1:63" ht="17.25" customHeight="1" x14ac:dyDescent="0.2">
      <c r="A220" s="1"/>
      <c r="B220" s="1"/>
      <c r="C220" s="34"/>
      <c r="D220" s="43"/>
      <c r="E220" s="34"/>
      <c r="F220" s="34"/>
      <c r="G220" s="34"/>
      <c r="H220" s="44"/>
      <c r="I220" s="4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spans="1:63" ht="17.25" customHeight="1" x14ac:dyDescent="0.2">
      <c r="A221" s="1"/>
      <c r="B221" s="1"/>
      <c r="C221" s="34"/>
      <c r="D221" s="43"/>
      <c r="E221" s="34"/>
      <c r="F221" s="34"/>
      <c r="G221" s="34"/>
      <c r="H221" s="44"/>
      <c r="I221" s="4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spans="1:63" ht="17.25" customHeight="1" x14ac:dyDescent="0.2">
      <c r="A222" s="1"/>
      <c r="B222" s="1"/>
      <c r="C222" s="34"/>
      <c r="D222" s="43"/>
      <c r="E222" s="34"/>
      <c r="F222" s="34"/>
      <c r="G222" s="34"/>
      <c r="H222" s="44"/>
      <c r="I222" s="4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spans="1:63" ht="17.25" customHeight="1" x14ac:dyDescent="0.2">
      <c r="A223" s="1"/>
      <c r="B223" s="1"/>
      <c r="C223" s="34"/>
      <c r="D223" s="43"/>
      <c r="E223" s="34"/>
      <c r="F223" s="34"/>
      <c r="G223" s="34"/>
      <c r="H223" s="44"/>
      <c r="I223" s="4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spans="1:63" ht="17.25" customHeight="1" x14ac:dyDescent="0.2">
      <c r="A224" s="1"/>
      <c r="B224" s="1"/>
      <c r="C224" s="34"/>
      <c r="D224" s="43"/>
      <c r="E224" s="34"/>
      <c r="F224" s="34"/>
      <c r="G224" s="34"/>
      <c r="H224" s="44"/>
      <c r="I224" s="4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spans="1:63" ht="17.25" customHeight="1" x14ac:dyDescent="0.2">
      <c r="A225" s="1"/>
      <c r="B225" s="1"/>
      <c r="C225" s="34"/>
      <c r="D225" s="43"/>
      <c r="E225" s="34"/>
      <c r="F225" s="34"/>
      <c r="G225" s="34"/>
      <c r="H225" s="44"/>
      <c r="I225" s="4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spans="1:63" ht="17.25" customHeight="1" x14ac:dyDescent="0.2">
      <c r="A226" s="1"/>
      <c r="B226" s="1"/>
      <c r="C226" s="34"/>
      <c r="D226" s="43"/>
      <c r="E226" s="34"/>
      <c r="F226" s="34"/>
      <c r="G226" s="34"/>
      <c r="H226" s="44"/>
      <c r="I226" s="4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spans="1:63" ht="17.25" customHeight="1" x14ac:dyDescent="0.2">
      <c r="A227" s="1"/>
      <c r="B227" s="1"/>
      <c r="C227" s="34"/>
      <c r="D227" s="43"/>
      <c r="E227" s="34"/>
      <c r="F227" s="34"/>
      <c r="G227" s="34"/>
      <c r="H227" s="44"/>
      <c r="I227" s="4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spans="1:63" ht="17.25" customHeight="1" x14ac:dyDescent="0.2">
      <c r="A228" s="1"/>
      <c r="B228" s="1"/>
      <c r="C228" s="34"/>
      <c r="D228" s="43"/>
      <c r="E228" s="34"/>
      <c r="F228" s="34"/>
      <c r="G228" s="34"/>
      <c r="H228" s="44"/>
      <c r="I228" s="4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spans="1:63" ht="17.25" customHeight="1" x14ac:dyDescent="0.2">
      <c r="A229" s="1"/>
      <c r="B229" s="1"/>
      <c r="C229" s="34"/>
      <c r="D229" s="43"/>
      <c r="E229" s="34"/>
      <c r="F229" s="34"/>
      <c r="G229" s="34"/>
      <c r="H229" s="44"/>
      <c r="I229" s="4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spans="1:63" ht="17.25" customHeight="1" x14ac:dyDescent="0.2">
      <c r="A230" s="1"/>
      <c r="B230" s="1"/>
      <c r="C230" s="34"/>
      <c r="D230" s="43"/>
      <c r="E230" s="34"/>
      <c r="F230" s="34"/>
      <c r="G230" s="34"/>
      <c r="H230" s="44"/>
      <c r="I230" s="4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spans="1:63" ht="17.25" customHeight="1" x14ac:dyDescent="0.2">
      <c r="A231" s="1"/>
      <c r="B231" s="1"/>
      <c r="C231" s="34"/>
      <c r="D231" s="43"/>
      <c r="E231" s="34"/>
      <c r="F231" s="34"/>
      <c r="G231" s="34"/>
      <c r="H231" s="44"/>
      <c r="I231" s="4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spans="1:63" ht="17.25" customHeight="1" x14ac:dyDescent="0.2">
      <c r="A232" s="1"/>
      <c r="B232" s="1"/>
      <c r="C232" s="34"/>
      <c r="D232" s="43"/>
      <c r="E232" s="34"/>
      <c r="F232" s="34"/>
      <c r="G232" s="34"/>
      <c r="H232" s="44"/>
      <c r="I232" s="4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spans="1:63" ht="17.25" customHeight="1" x14ac:dyDescent="0.2">
      <c r="A233" s="1"/>
      <c r="B233" s="1"/>
      <c r="C233" s="34"/>
      <c r="D233" s="43"/>
      <c r="E233" s="34"/>
      <c r="F233" s="34"/>
      <c r="G233" s="34"/>
      <c r="H233" s="44"/>
      <c r="I233" s="4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spans="1:63" ht="17.25" customHeight="1" x14ac:dyDescent="0.2">
      <c r="A234" s="1"/>
      <c r="B234" s="1"/>
      <c r="C234" s="34"/>
      <c r="D234" s="43"/>
      <c r="E234" s="34"/>
      <c r="F234" s="34"/>
      <c r="G234" s="34"/>
      <c r="H234" s="44"/>
      <c r="I234" s="4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spans="1:63" ht="17.25" customHeight="1" x14ac:dyDescent="0.2">
      <c r="A235" s="1"/>
      <c r="B235" s="1"/>
      <c r="C235" s="34"/>
      <c r="D235" s="43"/>
      <c r="E235" s="34"/>
      <c r="F235" s="34"/>
      <c r="G235" s="34"/>
      <c r="H235" s="44"/>
      <c r="I235" s="4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spans="1:63" ht="17.25" customHeight="1" x14ac:dyDescent="0.2">
      <c r="A236" s="1"/>
      <c r="B236" s="1"/>
      <c r="C236" s="34"/>
      <c r="D236" s="43"/>
      <c r="E236" s="34"/>
      <c r="F236" s="34"/>
      <c r="G236" s="34"/>
      <c r="H236" s="44"/>
      <c r="I236" s="4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spans="1:63" ht="17.25" customHeight="1" x14ac:dyDescent="0.2">
      <c r="A237" s="1"/>
      <c r="B237" s="1"/>
      <c r="C237" s="34"/>
      <c r="D237" s="43"/>
      <c r="E237" s="34"/>
      <c r="F237" s="34"/>
      <c r="G237" s="34"/>
      <c r="H237" s="44"/>
      <c r="I237" s="4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spans="1:63" ht="17.25" customHeight="1" x14ac:dyDescent="0.2">
      <c r="A238" s="1"/>
      <c r="B238" s="1"/>
      <c r="C238" s="34"/>
      <c r="D238" s="43"/>
      <c r="E238" s="34"/>
      <c r="F238" s="34"/>
      <c r="G238" s="34"/>
      <c r="H238" s="44"/>
      <c r="I238" s="4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spans="1:63" ht="17.25" customHeight="1" x14ac:dyDescent="0.2">
      <c r="A239" s="1"/>
      <c r="B239" s="1"/>
      <c r="C239" s="34"/>
      <c r="D239" s="43"/>
      <c r="E239" s="34"/>
      <c r="F239" s="34"/>
      <c r="G239" s="34"/>
      <c r="H239" s="44"/>
      <c r="I239" s="4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spans="1:63" ht="17.25" customHeight="1" x14ac:dyDescent="0.2">
      <c r="A240" s="1"/>
      <c r="B240" s="1"/>
      <c r="C240" s="34"/>
      <c r="D240" s="43"/>
      <c r="E240" s="34"/>
      <c r="F240" s="34"/>
      <c r="G240" s="34"/>
      <c r="H240" s="44"/>
      <c r="I240" s="4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spans="1:63" ht="17.25" customHeight="1" x14ac:dyDescent="0.2">
      <c r="A241" s="1"/>
      <c r="B241" s="1"/>
      <c r="C241" s="34"/>
      <c r="D241" s="43"/>
      <c r="E241" s="34"/>
      <c r="F241" s="34"/>
      <c r="G241" s="34"/>
      <c r="H241" s="44"/>
      <c r="I241" s="4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spans="1:63" ht="17.25" customHeight="1" x14ac:dyDescent="0.2">
      <c r="A242" s="1"/>
      <c r="B242" s="1"/>
      <c r="C242" s="34"/>
      <c r="D242" s="43"/>
      <c r="E242" s="34"/>
      <c r="F242" s="34"/>
      <c r="G242" s="34"/>
      <c r="H242" s="44"/>
      <c r="I242" s="4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spans="1:63" ht="17.25" customHeight="1" x14ac:dyDescent="0.2">
      <c r="A243" s="1"/>
      <c r="B243" s="1"/>
      <c r="C243" s="34"/>
      <c r="D243" s="43"/>
      <c r="E243" s="34"/>
      <c r="F243" s="34"/>
      <c r="G243" s="34"/>
      <c r="H243" s="44"/>
      <c r="I243" s="4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spans="1:63" ht="17.25" customHeight="1" x14ac:dyDescent="0.2">
      <c r="A244" s="1"/>
      <c r="B244" s="1"/>
      <c r="C244" s="34"/>
      <c r="D244" s="43"/>
      <c r="E244" s="34"/>
      <c r="F244" s="34"/>
      <c r="G244" s="34"/>
      <c r="H244" s="44"/>
      <c r="I244" s="4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spans="1:63" ht="17.25" customHeight="1" x14ac:dyDescent="0.2">
      <c r="A245" s="1"/>
      <c r="B245" s="1"/>
      <c r="C245" s="34"/>
      <c r="D245" s="43"/>
      <c r="E245" s="34"/>
      <c r="F245" s="34"/>
      <c r="G245" s="34"/>
      <c r="H245" s="44"/>
      <c r="I245" s="4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spans="1:63" ht="17.25" customHeight="1" x14ac:dyDescent="0.2">
      <c r="A246" s="1"/>
      <c r="B246" s="1"/>
      <c r="C246" s="34"/>
      <c r="D246" s="43"/>
      <c r="E246" s="34"/>
      <c r="F246" s="34"/>
      <c r="G246" s="34"/>
      <c r="H246" s="44"/>
      <c r="I246" s="4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spans="1:63" ht="17.25" customHeight="1" x14ac:dyDescent="0.2">
      <c r="A247" s="1"/>
      <c r="B247" s="1"/>
      <c r="C247" s="34"/>
      <c r="D247" s="43"/>
      <c r="E247" s="34"/>
      <c r="F247" s="34"/>
      <c r="G247" s="34"/>
      <c r="H247" s="44"/>
      <c r="I247" s="4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spans="1:63" ht="17.25" customHeight="1" x14ac:dyDescent="0.2">
      <c r="A248" s="1"/>
      <c r="B248" s="1"/>
      <c r="C248" s="34"/>
      <c r="D248" s="43"/>
      <c r="E248" s="34"/>
      <c r="F248" s="34"/>
      <c r="G248" s="34"/>
      <c r="H248" s="44"/>
      <c r="I248" s="4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ht="17.25" customHeight="1" x14ac:dyDescent="0.2">
      <c r="A249" s="1"/>
      <c r="B249" s="1"/>
      <c r="C249" s="34"/>
      <c r="D249" s="43"/>
      <c r="E249" s="34"/>
      <c r="F249" s="34"/>
      <c r="G249" s="34"/>
      <c r="H249" s="44"/>
      <c r="I249" s="4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ht="17.25" customHeight="1" x14ac:dyDescent="0.2">
      <c r="A250" s="1"/>
      <c r="B250" s="1"/>
      <c r="C250" s="34"/>
      <c r="D250" s="43"/>
      <c r="E250" s="34"/>
      <c r="F250" s="34"/>
      <c r="G250" s="34"/>
      <c r="H250" s="44"/>
      <c r="I250" s="4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ht="17.25" customHeight="1" x14ac:dyDescent="0.2">
      <c r="A251" s="1"/>
      <c r="B251" s="1"/>
      <c r="C251" s="34"/>
      <c r="D251" s="43"/>
      <c r="E251" s="34"/>
      <c r="F251" s="34"/>
      <c r="G251" s="34"/>
      <c r="H251" s="44"/>
      <c r="I251" s="4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spans="1:63" ht="17.25" customHeight="1" x14ac:dyDescent="0.2">
      <c r="A252" s="1"/>
      <c r="B252" s="1"/>
      <c r="C252" s="34"/>
      <c r="D252" s="43"/>
      <c r="E252" s="34"/>
      <c r="F252" s="34"/>
      <c r="G252" s="34"/>
      <c r="H252" s="44"/>
      <c r="I252" s="4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spans="1:63" ht="17.25" customHeight="1" x14ac:dyDescent="0.2">
      <c r="A253" s="1"/>
      <c r="B253" s="1"/>
      <c r="C253" s="34"/>
      <c r="D253" s="43"/>
      <c r="E253" s="34"/>
      <c r="F253" s="34"/>
      <c r="G253" s="34"/>
      <c r="H253" s="44"/>
      <c r="I253" s="4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spans="1:63" ht="17.25" customHeight="1" x14ac:dyDescent="0.2">
      <c r="A254" s="1"/>
      <c r="B254" s="1"/>
      <c r="C254" s="34"/>
      <c r="D254" s="43"/>
      <c r="E254" s="34"/>
      <c r="F254" s="34"/>
      <c r="G254" s="34"/>
      <c r="H254" s="44"/>
      <c r="I254" s="4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spans="1:63" ht="17.25" customHeight="1" x14ac:dyDescent="0.2">
      <c r="A255" s="1"/>
      <c r="B255" s="1"/>
      <c r="C255" s="34"/>
      <c r="D255" s="43"/>
      <c r="E255" s="34"/>
      <c r="F255" s="34"/>
      <c r="G255" s="34"/>
      <c r="H255" s="44"/>
      <c r="I255" s="4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spans="1:63" ht="17.25" customHeight="1" x14ac:dyDescent="0.2">
      <c r="A256" s="1"/>
      <c r="B256" s="1"/>
      <c r="C256" s="34"/>
      <c r="D256" s="43"/>
      <c r="E256" s="34"/>
      <c r="F256" s="34"/>
      <c r="G256" s="34"/>
      <c r="H256" s="44"/>
      <c r="I256" s="4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spans="1:63" ht="17.25" customHeight="1" x14ac:dyDescent="0.2">
      <c r="A257" s="1"/>
      <c r="B257" s="1"/>
      <c r="C257" s="34"/>
      <c r="D257" s="43"/>
      <c r="E257" s="34"/>
      <c r="F257" s="34"/>
      <c r="G257" s="34"/>
      <c r="H257" s="44"/>
      <c r="I257" s="4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spans="1:63" ht="17.25" customHeight="1" x14ac:dyDescent="0.2">
      <c r="A258" s="1"/>
      <c r="B258" s="1"/>
      <c r="C258" s="34"/>
      <c r="D258" s="43"/>
      <c r="E258" s="34"/>
      <c r="F258" s="34"/>
      <c r="G258" s="34"/>
      <c r="H258" s="44"/>
      <c r="I258" s="4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spans="1:63" ht="17.25" customHeight="1" x14ac:dyDescent="0.2">
      <c r="A259" s="1"/>
      <c r="B259" s="1"/>
      <c r="C259" s="34"/>
      <c r="D259" s="43"/>
      <c r="E259" s="34"/>
      <c r="F259" s="34"/>
      <c r="G259" s="34"/>
      <c r="H259" s="44"/>
      <c r="I259" s="4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spans="1:63" ht="17.25" customHeight="1" x14ac:dyDescent="0.2">
      <c r="A260" s="1"/>
      <c r="B260" s="1"/>
      <c r="C260" s="34"/>
      <c r="D260" s="43"/>
      <c r="E260" s="34"/>
      <c r="F260" s="34"/>
      <c r="G260" s="34"/>
      <c r="H260" s="44"/>
      <c r="I260" s="4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spans="1:63" ht="17.25" customHeight="1" x14ac:dyDescent="0.2">
      <c r="A261" s="1"/>
      <c r="B261" s="1"/>
      <c r="C261" s="34"/>
      <c r="D261" s="43"/>
      <c r="E261" s="34"/>
      <c r="F261" s="34"/>
      <c r="G261" s="34"/>
      <c r="H261" s="44"/>
      <c r="I261" s="4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spans="1:63" ht="17.25" customHeight="1" x14ac:dyDescent="0.2">
      <c r="A262" s="1"/>
      <c r="B262" s="1"/>
      <c r="C262" s="34"/>
      <c r="D262" s="43"/>
      <c r="E262" s="34"/>
      <c r="F262" s="34"/>
      <c r="G262" s="34"/>
      <c r="H262" s="44"/>
      <c r="I262" s="4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spans="1:63" ht="17.25" customHeight="1" x14ac:dyDescent="0.2">
      <c r="A263" s="1"/>
      <c r="B263" s="1"/>
      <c r="C263" s="34"/>
      <c r="D263" s="43"/>
      <c r="E263" s="34"/>
      <c r="F263" s="34"/>
      <c r="G263" s="34"/>
      <c r="H263" s="44"/>
      <c r="I263" s="4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spans="1:63" ht="17.25" customHeight="1" x14ac:dyDescent="0.2">
      <c r="A264" s="1"/>
      <c r="B264" s="1"/>
      <c r="C264" s="34"/>
      <c r="D264" s="43"/>
      <c r="E264" s="34"/>
      <c r="F264" s="34"/>
      <c r="G264" s="34"/>
      <c r="H264" s="44"/>
      <c r="I264" s="4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spans="1:63" ht="17.25" customHeight="1" x14ac:dyDescent="0.2">
      <c r="A265" s="1"/>
      <c r="B265" s="1"/>
      <c r="C265" s="34"/>
      <c r="D265" s="43"/>
      <c r="E265" s="34"/>
      <c r="F265" s="34"/>
      <c r="G265" s="34"/>
      <c r="H265" s="44"/>
      <c r="I265" s="4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spans="1:63" ht="17.25" customHeight="1" x14ac:dyDescent="0.2">
      <c r="A266" s="1"/>
      <c r="B266" s="1"/>
      <c r="C266" s="34"/>
      <c r="D266" s="43"/>
      <c r="E266" s="34"/>
      <c r="F266" s="34"/>
      <c r="G266" s="34"/>
      <c r="H266" s="44"/>
      <c r="I266" s="4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spans="1:63" ht="17.25" customHeight="1" x14ac:dyDescent="0.2">
      <c r="A267" s="1"/>
      <c r="B267" s="1"/>
      <c r="C267" s="34"/>
      <c r="D267" s="43"/>
      <c r="E267" s="34"/>
      <c r="F267" s="34"/>
      <c r="G267" s="34"/>
      <c r="H267" s="44"/>
      <c r="I267" s="4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spans="1:63" ht="17.25" customHeight="1" x14ac:dyDescent="0.2">
      <c r="A268" s="1"/>
      <c r="B268" s="1"/>
      <c r="C268" s="34"/>
      <c r="D268" s="43"/>
      <c r="E268" s="34"/>
      <c r="F268" s="34"/>
      <c r="G268" s="34"/>
      <c r="H268" s="44"/>
      <c r="I268" s="4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spans="1:63" ht="17.25" customHeight="1" x14ac:dyDescent="0.2">
      <c r="A269" s="1"/>
      <c r="B269" s="1"/>
      <c r="C269" s="34"/>
      <c r="D269" s="43"/>
      <c r="E269" s="34"/>
      <c r="F269" s="34"/>
      <c r="G269" s="34"/>
      <c r="H269" s="44"/>
      <c r="I269" s="4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spans="1:63" ht="17.25" customHeight="1" x14ac:dyDescent="0.2">
      <c r="A270" s="1"/>
      <c r="B270" s="1"/>
      <c r="C270" s="34"/>
      <c r="D270" s="43"/>
      <c r="E270" s="34"/>
      <c r="F270" s="34"/>
      <c r="G270" s="34"/>
      <c r="H270" s="44"/>
      <c r="I270" s="4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spans="1:63" ht="17.25" customHeight="1" x14ac:dyDescent="0.2">
      <c r="A271" s="1"/>
      <c r="B271" s="1"/>
      <c r="C271" s="34"/>
      <c r="D271" s="43"/>
      <c r="E271" s="34"/>
      <c r="F271" s="34"/>
      <c r="G271" s="34"/>
      <c r="H271" s="44"/>
      <c r="I271" s="4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spans="1:63" ht="17.25" customHeight="1" x14ac:dyDescent="0.2">
      <c r="A272" s="1"/>
      <c r="B272" s="1"/>
      <c r="C272" s="34"/>
      <c r="D272" s="43"/>
      <c r="E272" s="34"/>
      <c r="F272" s="34"/>
      <c r="G272" s="34"/>
      <c r="H272" s="44"/>
      <c r="I272" s="4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spans="1:63" ht="17.25" customHeight="1" x14ac:dyDescent="0.2">
      <c r="A273" s="1"/>
      <c r="B273" s="1"/>
      <c r="C273" s="34"/>
      <c r="D273" s="43"/>
      <c r="E273" s="34"/>
      <c r="F273" s="34"/>
      <c r="G273" s="34"/>
      <c r="H273" s="44"/>
      <c r="I273" s="4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spans="1:63" ht="17.25" customHeight="1" x14ac:dyDescent="0.2">
      <c r="A274" s="1"/>
      <c r="B274" s="1"/>
      <c r="C274" s="34"/>
      <c r="D274" s="43"/>
      <c r="E274" s="34"/>
      <c r="F274" s="34"/>
      <c r="G274" s="34"/>
      <c r="H274" s="44"/>
      <c r="I274" s="4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spans="1:63" ht="17.25" customHeight="1" x14ac:dyDescent="0.2">
      <c r="A275" s="1"/>
      <c r="B275" s="1"/>
      <c r="C275" s="34"/>
      <c r="D275" s="43"/>
      <c r="E275" s="34"/>
      <c r="F275" s="34"/>
      <c r="G275" s="34"/>
      <c r="H275" s="44"/>
      <c r="I275" s="4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spans="1:63" ht="17.25" customHeight="1" x14ac:dyDescent="0.2">
      <c r="A276" s="1"/>
      <c r="B276" s="1"/>
      <c r="C276" s="34"/>
      <c r="D276" s="43"/>
      <c r="E276" s="34"/>
      <c r="F276" s="34"/>
      <c r="G276" s="34"/>
      <c r="H276" s="44"/>
      <c r="I276" s="4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spans="1:63" ht="17.25" customHeight="1" x14ac:dyDescent="0.2">
      <c r="A277" s="1"/>
      <c r="B277" s="1"/>
      <c r="C277" s="34"/>
      <c r="D277" s="43"/>
      <c r="E277" s="34"/>
      <c r="F277" s="34"/>
      <c r="G277" s="34"/>
      <c r="H277" s="44"/>
      <c r="I277" s="4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spans="1:63" ht="17.25" customHeight="1" x14ac:dyDescent="0.2">
      <c r="A278" s="1"/>
      <c r="B278" s="1"/>
      <c r="C278" s="34"/>
      <c r="D278" s="43"/>
      <c r="E278" s="34"/>
      <c r="F278" s="34"/>
      <c r="G278" s="34"/>
      <c r="H278" s="44"/>
      <c r="I278" s="4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spans="1:63" ht="17.25" customHeight="1" x14ac:dyDescent="0.2">
      <c r="A279" s="1"/>
      <c r="B279" s="1"/>
      <c r="C279" s="34"/>
      <c r="D279" s="43"/>
      <c r="E279" s="34"/>
      <c r="F279" s="34"/>
      <c r="G279" s="34"/>
      <c r="H279" s="44"/>
      <c r="I279" s="4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spans="1:63" ht="17.25" customHeight="1" x14ac:dyDescent="0.2">
      <c r="A280" s="1"/>
      <c r="B280" s="1"/>
      <c r="C280" s="34"/>
      <c r="D280" s="43"/>
      <c r="E280" s="34"/>
      <c r="F280" s="34"/>
      <c r="G280" s="34"/>
      <c r="H280" s="44"/>
      <c r="I280" s="4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spans="1:63" ht="17.25" customHeight="1" x14ac:dyDescent="0.2">
      <c r="A281" s="1"/>
      <c r="B281" s="1"/>
      <c r="C281" s="34"/>
      <c r="D281" s="43"/>
      <c r="E281" s="34"/>
      <c r="F281" s="34"/>
      <c r="G281" s="34"/>
      <c r="H281" s="44"/>
      <c r="I281" s="4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spans="1:63" ht="15.75" customHeight="1" x14ac:dyDescent="0.2"/>
    <row r="283" spans="1:63" ht="15.75" customHeight="1" x14ac:dyDescent="0.2"/>
    <row r="284" spans="1:63" ht="15.75" customHeight="1" x14ac:dyDescent="0.2"/>
    <row r="285" spans="1:63" ht="15.75" customHeight="1" x14ac:dyDescent="0.2"/>
    <row r="286" spans="1:63" ht="15.75" customHeight="1" x14ac:dyDescent="0.2"/>
    <row r="287" spans="1:63" ht="15.75" customHeight="1" x14ac:dyDescent="0.2"/>
    <row r="288" spans="1:63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24">
    <mergeCell ref="B47:M47"/>
    <mergeCell ref="B48:M48"/>
    <mergeCell ref="B49:M49"/>
    <mergeCell ref="AA35:AD35"/>
    <mergeCell ref="AE39:AH39"/>
    <mergeCell ref="AI39:AJ39"/>
    <mergeCell ref="AA36:AD36"/>
    <mergeCell ref="AE36:AL36"/>
    <mergeCell ref="AO36:AQ36"/>
    <mergeCell ref="B37:AQ37"/>
    <mergeCell ref="B38:AQ38"/>
    <mergeCell ref="AA39:AD39"/>
    <mergeCell ref="AN39:AO39"/>
    <mergeCell ref="B42:J42"/>
    <mergeCell ref="K42:N42"/>
    <mergeCell ref="AI42:AN42"/>
    <mergeCell ref="AO42:AQ42"/>
    <mergeCell ref="K43:N43"/>
    <mergeCell ref="AI43:AN43"/>
    <mergeCell ref="AO43:AQ43"/>
    <mergeCell ref="AI44:AN44"/>
    <mergeCell ref="AO44:AQ44"/>
    <mergeCell ref="AI48:AN48"/>
    <mergeCell ref="AI49:AN49"/>
    <mergeCell ref="B58:M58"/>
    <mergeCell ref="B59:M59"/>
    <mergeCell ref="B50:M50"/>
    <mergeCell ref="B51:M51"/>
    <mergeCell ref="B52:M52"/>
    <mergeCell ref="B54:M54"/>
    <mergeCell ref="B55:M55"/>
    <mergeCell ref="B56:M56"/>
    <mergeCell ref="B57:M57"/>
    <mergeCell ref="B43:J43"/>
    <mergeCell ref="B44:J44"/>
    <mergeCell ref="K44:N44"/>
    <mergeCell ref="B46:M46"/>
    <mergeCell ref="AE30:AH30"/>
    <mergeCell ref="AI30:AL30"/>
    <mergeCell ref="B39:Z39"/>
    <mergeCell ref="B40:O40"/>
    <mergeCell ref="P40:AQ40"/>
    <mergeCell ref="B41:J41"/>
    <mergeCell ref="K41:N41"/>
    <mergeCell ref="AI41:AN41"/>
    <mergeCell ref="AO41:AQ41"/>
    <mergeCell ref="AA30:AD30"/>
    <mergeCell ref="AA31:AD31"/>
    <mergeCell ref="AE31:AH31"/>
    <mergeCell ref="AI31:AL31"/>
    <mergeCell ref="AA32:AD32"/>
    <mergeCell ref="AE32:AH32"/>
    <mergeCell ref="AI32:AL32"/>
    <mergeCell ref="AE35:AH35"/>
    <mergeCell ref="AI35:AL35"/>
    <mergeCell ref="AA33:AD33"/>
    <mergeCell ref="AE33:AH33"/>
    <mergeCell ref="AI33:AL33"/>
    <mergeCell ref="AA34:AD34"/>
    <mergeCell ref="AE34:AH34"/>
    <mergeCell ref="AI34:AL34"/>
    <mergeCell ref="P24:U24"/>
    <mergeCell ref="V24:Y24"/>
    <mergeCell ref="AA24:AD24"/>
    <mergeCell ref="AE24:AH24"/>
    <mergeCell ref="AI24:AL24"/>
    <mergeCell ref="V25:Y25"/>
    <mergeCell ref="AI25:AL25"/>
    <mergeCell ref="P29:U29"/>
    <mergeCell ref="V29:Y29"/>
    <mergeCell ref="AA29:AD29"/>
    <mergeCell ref="AE29:AH29"/>
    <mergeCell ref="AI29:AL29"/>
    <mergeCell ref="P33:U33"/>
    <mergeCell ref="P34:U34"/>
    <mergeCell ref="V34:Y34"/>
    <mergeCell ref="P23:U23"/>
    <mergeCell ref="V23:Y23"/>
    <mergeCell ref="AA23:AD23"/>
    <mergeCell ref="AE23:AH23"/>
    <mergeCell ref="AI23:AL23"/>
    <mergeCell ref="P19:U19"/>
    <mergeCell ref="P20:U20"/>
    <mergeCell ref="V20:Y20"/>
    <mergeCell ref="P21:U21"/>
    <mergeCell ref="V21:Y21"/>
    <mergeCell ref="P22:U22"/>
    <mergeCell ref="V22:Y22"/>
    <mergeCell ref="V18:Y18"/>
    <mergeCell ref="AA18:AD18"/>
    <mergeCell ref="AE18:AH18"/>
    <mergeCell ref="AI18:AL18"/>
    <mergeCell ref="V19:Y19"/>
    <mergeCell ref="AI19:AL19"/>
    <mergeCell ref="AA21:AD21"/>
    <mergeCell ref="AA22:AD22"/>
    <mergeCell ref="AE22:AH22"/>
    <mergeCell ref="AI22:AL22"/>
    <mergeCell ref="AA19:AD19"/>
    <mergeCell ref="AE19:AH19"/>
    <mergeCell ref="AA20:AD20"/>
    <mergeCell ref="AE20:AH20"/>
    <mergeCell ref="AI20:AL20"/>
    <mergeCell ref="AE21:AH21"/>
    <mergeCell ref="AI21:AL21"/>
    <mergeCell ref="P35:U35"/>
    <mergeCell ref="V35:Y35"/>
    <mergeCell ref="P36:U36"/>
    <mergeCell ref="V36:Y36"/>
    <mergeCell ref="P30:U30"/>
    <mergeCell ref="V30:Y30"/>
    <mergeCell ref="P31:U31"/>
    <mergeCell ref="V31:Y31"/>
    <mergeCell ref="P32:U32"/>
    <mergeCell ref="V32:Y32"/>
    <mergeCell ref="V33:Y33"/>
    <mergeCell ref="P17:U17"/>
    <mergeCell ref="V17:Y17"/>
    <mergeCell ref="AA17:AD17"/>
    <mergeCell ref="AE17:AH17"/>
    <mergeCell ref="AI17:AL17"/>
    <mergeCell ref="AA27:AD27"/>
    <mergeCell ref="AA28:AD28"/>
    <mergeCell ref="AE28:AH28"/>
    <mergeCell ref="AI28:AL28"/>
    <mergeCell ref="AA25:AD25"/>
    <mergeCell ref="AE25:AH25"/>
    <mergeCell ref="AA26:AD26"/>
    <mergeCell ref="AE26:AH26"/>
    <mergeCell ref="AI26:AL26"/>
    <mergeCell ref="AE27:AH27"/>
    <mergeCell ref="AI27:AL27"/>
    <mergeCell ref="P25:U25"/>
    <mergeCell ref="P26:U26"/>
    <mergeCell ref="V26:Y26"/>
    <mergeCell ref="P27:U27"/>
    <mergeCell ref="V27:Y27"/>
    <mergeCell ref="P28:U28"/>
    <mergeCell ref="V28:Y28"/>
    <mergeCell ref="P18:U18"/>
    <mergeCell ref="P14:U14"/>
    <mergeCell ref="V14:Y14"/>
    <mergeCell ref="AA14:AD14"/>
    <mergeCell ref="AE14:AH14"/>
    <mergeCell ref="AI14:AL14"/>
    <mergeCell ref="AA16:AD16"/>
    <mergeCell ref="AE16:AH16"/>
    <mergeCell ref="P15:U15"/>
    <mergeCell ref="V15:Y15"/>
    <mergeCell ref="AA15:AD15"/>
    <mergeCell ref="AE15:AH15"/>
    <mergeCell ref="AI15:AL15"/>
    <mergeCell ref="P16:U16"/>
    <mergeCell ref="V16:Y16"/>
    <mergeCell ref="AI16:AL16"/>
    <mergeCell ref="I8:Y9"/>
    <mergeCell ref="Z8:AI9"/>
    <mergeCell ref="AJ8:AQ9"/>
    <mergeCell ref="B8:H9"/>
    <mergeCell ref="B10:H11"/>
    <mergeCell ref="I10:Y11"/>
    <mergeCell ref="Z10:AI11"/>
    <mergeCell ref="AJ10:AQ11"/>
    <mergeCell ref="I12:O13"/>
    <mergeCell ref="AC12:AQ13"/>
    <mergeCell ref="P12:S13"/>
    <mergeCell ref="T12:Y13"/>
    <mergeCell ref="B12:H13"/>
    <mergeCell ref="B1:O1"/>
    <mergeCell ref="B2:U2"/>
    <mergeCell ref="V2:AJ2"/>
    <mergeCell ref="AK2:AQ2"/>
    <mergeCell ref="B3:U3"/>
    <mergeCell ref="V3:AQ3"/>
    <mergeCell ref="B5:AQ5"/>
    <mergeCell ref="B6:H7"/>
    <mergeCell ref="I6:Y7"/>
    <mergeCell ref="Z6:AI7"/>
    <mergeCell ref="AJ6:AQ7"/>
    <mergeCell ref="D32:O32"/>
    <mergeCell ref="D33:O33"/>
    <mergeCell ref="D34:O34"/>
    <mergeCell ref="D35:O35"/>
    <mergeCell ref="B36:O36"/>
    <mergeCell ref="D22:O22"/>
    <mergeCell ref="D23:O23"/>
    <mergeCell ref="D24:O24"/>
    <mergeCell ref="D25:O25"/>
    <mergeCell ref="D26:O26"/>
    <mergeCell ref="D27:O27"/>
    <mergeCell ref="D28:O28"/>
    <mergeCell ref="B32:C32"/>
    <mergeCell ref="B33:C33"/>
    <mergeCell ref="B34:C34"/>
    <mergeCell ref="B35:C35"/>
    <mergeCell ref="B28:C28"/>
    <mergeCell ref="B29:C29"/>
    <mergeCell ref="B30:C30"/>
    <mergeCell ref="B31:C31"/>
    <mergeCell ref="D29:O29"/>
    <mergeCell ref="D30:O30"/>
    <mergeCell ref="D31:O31"/>
    <mergeCell ref="B21:C21"/>
    <mergeCell ref="B22:C22"/>
    <mergeCell ref="B23:C23"/>
    <mergeCell ref="B24:C24"/>
    <mergeCell ref="B25:C25"/>
    <mergeCell ref="B26:C26"/>
    <mergeCell ref="B27:C27"/>
    <mergeCell ref="B19:C19"/>
    <mergeCell ref="D19:O19"/>
    <mergeCell ref="B20:C20"/>
    <mergeCell ref="D20:O20"/>
    <mergeCell ref="D21:O21"/>
    <mergeCell ref="B14:C14"/>
    <mergeCell ref="D14:O14"/>
    <mergeCell ref="B15:C15"/>
    <mergeCell ref="D15:O15"/>
    <mergeCell ref="B16:C16"/>
    <mergeCell ref="D16:O16"/>
    <mergeCell ref="B18:C18"/>
    <mergeCell ref="D18:O18"/>
    <mergeCell ref="B17:C17"/>
    <mergeCell ref="D17:O17"/>
  </mergeCells>
  <dataValidations count="1">
    <dataValidation type="list" allowBlank="1" showErrorMessage="1" sqref="O55:O60" xr:uid="{00000000-0002-0000-0200-000000000000}">
      <formula1>#REF!</formula1>
    </dataValidation>
  </dataValidations>
  <pageMargins left="0" right="0" top="0" bottom="0" header="0" footer="0"/>
  <pageSetup paperSize="9" orientation="portrait"/>
  <colBreaks count="2" manualBreakCount="2">
    <brk id="43" man="1"/>
    <brk id="44" man="1"/>
  </colBreak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คิดต้นทุน สรุป</vt:lpstr>
      <vt:lpstr>Tester</vt:lpstr>
      <vt:lpstr>ส่งตรวจ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Lenovo01</cp:lastModifiedBy>
  <dcterms:created xsi:type="dcterms:W3CDTF">2021-11-03T06:40:27Z</dcterms:created>
  <dcterms:modified xsi:type="dcterms:W3CDTF">2026-08-20T08:24:00Z</dcterms:modified>
</cp:coreProperties>
</file>